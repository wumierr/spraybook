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4"/>
  </bookViews>
  <sheets>
    <sheet name="1月份 (2)" sheetId="10" r:id="rId1"/>
    <sheet name="2月份 (3)" sheetId="9" r:id="rId2"/>
    <sheet name="3月份 (4)" sheetId="11" r:id="rId3"/>
    <sheet name="4月份 (5)" sheetId="12" r:id="rId4"/>
    <sheet name="5月份 (6)" sheetId="13" r:id="rId5"/>
    <sheet name="6月份 (7)" sheetId="14" r:id="rId6"/>
    <sheet name="7月份 (8)" sheetId="15" r:id="rId7"/>
    <sheet name="8月份 (2)" sheetId="23" r:id="rId8"/>
    <sheet name="9月份 (10)" sheetId="17" r:id="rId9"/>
    <sheet name="10月份 (11)" sheetId="18" r:id="rId10"/>
    <sheet name="11月份 (12)" sheetId="19" r:id="rId11"/>
    <sheet name="12月份 (2)" sheetId="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<sst xmlns="http://schemas.openxmlformats.org/spreadsheetml/2006/main" count="790" uniqueCount="234">
  <si>
    <t xml:space="preserve"> 植保作业记账表</t>
  </si>
  <si>
    <t>日期</t>
  </si>
  <si>
    <t>姓名</t>
  </si>
  <si>
    <t>客户地址</t>
  </si>
  <si>
    <t>作业目的</t>
  </si>
  <si>
    <t>客户亩数</t>
  </si>
  <si>
    <t>地块数量</t>
  </si>
  <si>
    <t>价格亩/元</t>
  </si>
  <si>
    <t>应收金额</t>
  </si>
  <si>
    <t>实收金额</t>
  </si>
  <si>
    <t>业务来源</t>
  </si>
  <si>
    <t>作业人员</t>
  </si>
  <si>
    <t>收款人</t>
  </si>
  <si>
    <t>备注</t>
  </si>
  <si>
    <t>支出类型</t>
  </si>
  <si>
    <t>支出金额/元</t>
  </si>
  <si>
    <t>2026.1.14</t>
  </si>
  <si>
    <t>李洪富</t>
  </si>
  <si>
    <t>通安金桂村</t>
  </si>
  <si>
    <t>清园</t>
  </si>
  <si>
    <t>沈鹏</t>
  </si>
  <si>
    <t>李凌琦</t>
  </si>
  <si>
    <t>2026.1.15</t>
  </si>
  <si>
    <t>李洪辉</t>
  </si>
  <si>
    <t>肖启贵</t>
  </si>
  <si>
    <t>高琴</t>
  </si>
  <si>
    <t>李洪才</t>
  </si>
  <si>
    <t>吴靖欧</t>
  </si>
  <si>
    <t>大发梁子</t>
  </si>
  <si>
    <t>未收款</t>
  </si>
  <si>
    <t>李洪坤</t>
  </si>
  <si>
    <t>2026.1.21</t>
  </si>
  <si>
    <t>赵自富</t>
  </si>
  <si>
    <t>新名水库</t>
  </si>
  <si>
    <t>唐爽</t>
  </si>
  <si>
    <t>姚林</t>
  </si>
  <si>
    <t>彰冠万红新村11队</t>
  </si>
  <si>
    <t>陶启富</t>
  </si>
  <si>
    <t>彰冠红拉12队</t>
  </si>
  <si>
    <t>叶正燕</t>
  </si>
  <si>
    <t>彰冠红拉5队</t>
  </si>
  <si>
    <t>2026.1.22</t>
  </si>
  <si>
    <t>普天坤</t>
  </si>
  <si>
    <t>杨明富</t>
  </si>
  <si>
    <t>胡昌奎</t>
  </si>
  <si>
    <t>姜国菊</t>
  </si>
  <si>
    <t>通安花房村</t>
  </si>
  <si>
    <t>2026.1.24</t>
  </si>
  <si>
    <t>李泽申</t>
  </si>
  <si>
    <t>彰冠古桥村6队</t>
  </si>
  <si>
    <t>2026.1.25</t>
  </si>
  <si>
    <t>谷玉平</t>
  </si>
  <si>
    <t>彰冠万红新村1队</t>
  </si>
  <si>
    <t>毛桂梅</t>
  </si>
  <si>
    <t>2026.1.26</t>
  </si>
  <si>
    <t>吴仕兵</t>
  </si>
  <si>
    <t>彰冠红拉13队</t>
  </si>
  <si>
    <t>地狱级</t>
  </si>
  <si>
    <t>3家人</t>
  </si>
  <si>
    <t>鹿厂5队</t>
  </si>
  <si>
    <t>李凌琦唐爽沈鹏</t>
  </si>
  <si>
    <t>2026.1.27</t>
  </si>
  <si>
    <t>吴汉林</t>
  </si>
  <si>
    <t>唐爽李凌琦</t>
  </si>
  <si>
    <t>谷彪</t>
  </si>
  <si>
    <t>沈鹏唐爽</t>
  </si>
  <si>
    <t>王科红</t>
  </si>
  <si>
    <t xml:space="preserve">鹿厂5队 </t>
  </si>
  <si>
    <t>2026.1.3</t>
  </si>
  <si>
    <t>周友福</t>
  </si>
  <si>
    <t>彰冠魁阁1队</t>
  </si>
  <si>
    <t>李凌琦沈鹏</t>
  </si>
  <si>
    <t>2016.1.31</t>
  </si>
  <si>
    <t>顾光情</t>
  </si>
  <si>
    <t>彰冠红拉9队</t>
  </si>
  <si>
    <t>顾发仙</t>
  </si>
  <si>
    <t>李洪应</t>
  </si>
  <si>
    <t>加油。充4g图传流量，买湿纸巾</t>
  </si>
  <si>
    <t>一次性手套水管</t>
  </si>
  <si>
    <t>2026.2.22</t>
  </si>
  <si>
    <t>张显荣</t>
  </si>
  <si>
    <t>红拉4队</t>
  </si>
  <si>
    <t>李镇泽</t>
  </si>
  <si>
    <t>2026.2.27</t>
  </si>
  <si>
    <t>杨银</t>
  </si>
  <si>
    <t>铜矿7队</t>
  </si>
  <si>
    <t>2月12</t>
  </si>
  <si>
    <t>水管</t>
  </si>
  <si>
    <t>张正禄</t>
  </si>
  <si>
    <t xml:space="preserve">   沈鹏</t>
  </si>
  <si>
    <t>水桶配件</t>
  </si>
  <si>
    <t>张正磊</t>
  </si>
  <si>
    <t>加油</t>
  </si>
  <si>
    <t>2026.2.28</t>
  </si>
  <si>
    <t>杨义</t>
  </si>
  <si>
    <t>一次性手套</t>
  </si>
  <si>
    <t>2026.3.2</t>
  </si>
  <si>
    <t>顾明菊</t>
  </si>
  <si>
    <t>盐龙1队</t>
  </si>
  <si>
    <t>21号</t>
  </si>
  <si>
    <t>2026.3.1</t>
  </si>
  <si>
    <t>红拉10队</t>
  </si>
  <si>
    <t>捆绑带×2</t>
  </si>
  <si>
    <t>蔡永刚</t>
  </si>
  <si>
    <t>固定卡口×2</t>
  </si>
  <si>
    <t>顾光军</t>
  </si>
  <si>
    <t>26号</t>
  </si>
  <si>
    <t>2026.3.4</t>
  </si>
  <si>
    <t>顾光才</t>
  </si>
  <si>
    <t>2026.3.5</t>
  </si>
  <si>
    <t>杨昌军</t>
  </si>
  <si>
    <t>红拉12队</t>
  </si>
  <si>
    <t>27号</t>
  </si>
  <si>
    <t>叶洪</t>
  </si>
  <si>
    <t>红拉9队</t>
  </si>
  <si>
    <t>3.1号</t>
  </si>
  <si>
    <t>3.3号</t>
  </si>
  <si>
    <t>2026.3.6</t>
  </si>
  <si>
    <t>通安金桂</t>
  </si>
  <si>
    <t>3.5号</t>
  </si>
  <si>
    <t>2026.3.8</t>
  </si>
  <si>
    <t>李洪福</t>
  </si>
  <si>
    <t>吃饭</t>
  </si>
  <si>
    <t>快接</t>
  </si>
  <si>
    <t>陈兴刚</t>
  </si>
  <si>
    <t>通安繁荣</t>
  </si>
  <si>
    <t>WD40</t>
  </si>
  <si>
    <t>康厚阳</t>
  </si>
  <si>
    <t xml:space="preserve">  </t>
  </si>
  <si>
    <t>空气压力传感器</t>
  </si>
  <si>
    <t>羊肉粉</t>
  </si>
  <si>
    <t>谷正彪</t>
  </si>
  <si>
    <t>红拉7队</t>
  </si>
  <si>
    <t>2026.3.11</t>
  </si>
  <si>
    <t>罗绍林</t>
  </si>
  <si>
    <t>3月10号</t>
  </si>
  <si>
    <t>转李哥</t>
  </si>
  <si>
    <t>2026.3.16</t>
  </si>
  <si>
    <t>姚小海</t>
  </si>
  <si>
    <t>3010号</t>
  </si>
  <si>
    <t>焊飞机轮子轨道</t>
  </si>
  <si>
    <t>2026.3.18</t>
  </si>
  <si>
    <t>铜矿4队</t>
  </si>
  <si>
    <t>3月12号</t>
  </si>
  <si>
    <t>除杨昌军</t>
  </si>
  <si>
    <t>和谷正彪</t>
  </si>
  <si>
    <t>其余都已结算</t>
  </si>
  <si>
    <t>汪丹</t>
  </si>
  <si>
    <t>彰冠</t>
  </si>
  <si>
    <t>朱瑞花</t>
  </si>
  <si>
    <t>红拉12 队</t>
  </si>
  <si>
    <t>叶正伟</t>
  </si>
  <si>
    <t>办宽带充话费</t>
  </si>
  <si>
    <t>黄友顺</t>
  </si>
  <si>
    <t>张正明</t>
  </si>
  <si>
    <t>4e图传交话费</t>
  </si>
  <si>
    <t>买扳手</t>
  </si>
  <si>
    <t>倒车影像</t>
  </si>
  <si>
    <t>借壳虫药</t>
  </si>
  <si>
    <t>小柳树</t>
  </si>
  <si>
    <t>支出项目</t>
  </si>
  <si>
    <t>2026.4.1</t>
  </si>
  <si>
    <t>赵建华</t>
  </si>
  <si>
    <t>2026.4.2</t>
  </si>
  <si>
    <t>工作灯*2</t>
  </si>
  <si>
    <t>2026.4.3</t>
  </si>
  <si>
    <t>张天春</t>
  </si>
  <si>
    <t>顾明红买烟</t>
  </si>
  <si>
    <t>2026.4.4</t>
  </si>
  <si>
    <t>已结算</t>
  </si>
  <si>
    <t>油箱全满</t>
  </si>
  <si>
    <t>2026.4.7</t>
  </si>
  <si>
    <t>加小货车油</t>
  </si>
  <si>
    <t>2026.4.8</t>
  </si>
  <si>
    <t>晋兴芝</t>
  </si>
  <si>
    <t>2家地勤费</t>
  </si>
  <si>
    <t>2026.4.9</t>
  </si>
  <si>
    <t>金额</t>
  </si>
  <si>
    <t>油亩数</t>
  </si>
  <si>
    <t>电亩数</t>
  </si>
  <si>
    <t>油</t>
  </si>
  <si>
    <t>地勤</t>
  </si>
  <si>
    <t>2026.4.12</t>
  </si>
  <si>
    <t>蔡永诚</t>
  </si>
  <si>
    <t>2026.4.11</t>
  </si>
  <si>
    <t>电磁阀</t>
  </si>
  <si>
    <t>4家地勤费</t>
  </si>
  <si>
    <t>油/亩</t>
  </si>
  <si>
    <t>地勤/亩</t>
  </si>
  <si>
    <t>8.8元</t>
  </si>
  <si>
    <t>3.6元</t>
  </si>
  <si>
    <t>2026.4.13</t>
  </si>
  <si>
    <t>2026.4.16</t>
  </si>
  <si>
    <t>2026.4.17</t>
  </si>
  <si>
    <t>余</t>
  </si>
  <si>
    <t>每人</t>
  </si>
  <si>
    <t>2026.4.18</t>
  </si>
  <si>
    <t>付琪彪</t>
  </si>
  <si>
    <t>陈仁军</t>
  </si>
  <si>
    <t>转王强</t>
  </si>
  <si>
    <t>付琪彪地块</t>
  </si>
  <si>
    <t>2056.4.18</t>
  </si>
  <si>
    <t>吴晋欧</t>
  </si>
  <si>
    <t>大发</t>
  </si>
  <si>
    <t>16家算11家</t>
  </si>
  <si>
    <t>高勤康侯阳算一家</t>
  </si>
  <si>
    <t>转账</t>
  </si>
  <si>
    <t>买药</t>
  </si>
  <si>
    <t>晋天芝</t>
  </si>
  <si>
    <t>晋兴军</t>
  </si>
  <si>
    <t>三相电费</t>
  </si>
  <si>
    <t>2026.4.21</t>
  </si>
  <si>
    <t>张志军</t>
  </si>
  <si>
    <t>王强</t>
  </si>
  <si>
    <t>28亩</t>
  </si>
  <si>
    <t>48亩</t>
  </si>
  <si>
    <t>支出</t>
  </si>
  <si>
    <t>李凌琦收款</t>
  </si>
  <si>
    <t>李凌琦预支</t>
  </si>
  <si>
    <t>补回</t>
  </si>
  <si>
    <t>大疆4e</t>
  </si>
  <si>
    <t>胡昌荣</t>
  </si>
  <si>
    <t>23亩</t>
  </si>
  <si>
    <t>2026.4.23</t>
  </si>
  <si>
    <t>30亩</t>
  </si>
  <si>
    <t>18亩</t>
  </si>
  <si>
    <t>总</t>
  </si>
  <si>
    <t>4030元</t>
  </si>
  <si>
    <t>买烟</t>
  </si>
  <si>
    <t>红拉</t>
  </si>
  <si>
    <t>李凌琦收</t>
  </si>
  <si>
    <t>应转李凌琦</t>
  </si>
  <si>
    <t>李红辉</t>
  </si>
  <si>
    <t>晋新军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</si>
</sst>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48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b/>
      <sz val="26"/>
      <color theme="0"/>
      <name val="Microsoft YaHei"/>
      <charset val="134"/>
    </font>
    <font>
      <b/>
      <sz val="11"/>
      <name val="Microsoft YaHei"/>
      <charset val="134"/>
    </font>
    <font>
      <b/>
      <sz val="11"/>
      <color theme="0"/>
      <name val="Microsoft YaHei"/>
      <charset val="134"/>
    </font>
    <font>
      <b/>
      <sz val="11"/>
      <color theme="4" tint="-0.249977111117893"/>
      <name val="宋体"/>
      <charset val="134"/>
      <scheme val="minor"/>
    </font>
    <font>
      <sz val="10"/>
      <name val="Microsoft YaHei"/>
      <charset val="134"/>
    </font>
    <font>
      <sz val="10"/>
      <color theme="1"/>
      <name val="Microsoft YaHei"/>
      <charset val="134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Microsoft YaHei"/>
      <charset val="134"/>
    </font>
    <font>
      <b/>
      <sz val="11"/>
      <color theme="9" tint="-0.499984740745262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-0.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E7EFB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9"/>
      </top>
      <bottom style="medium">
        <color theme="9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8" borderId="11" applyNumberFormat="0" applyAlignment="0" applyProtection="0">
      <alignment vertical="center"/>
    </xf>
    <xf numFmtId="0" fontId="26" fillId="19" borderId="12" applyNumberFormat="0" applyAlignment="0" applyProtection="0">
      <alignment vertical="center"/>
    </xf>
    <xf numFmtId="0" fontId="27" fillId="19" borderId="11" applyNumberFormat="0" applyAlignment="0" applyProtection="0">
      <alignment vertical="center"/>
    </xf>
    <xf numFmtId="0" fontId="28" fillId="20" borderId="13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3" fillId="0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3" borderId="0" xfId="0" applyFill="1" applyAlignment="1">
      <alignment horizontal="center" vertical="top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0" borderId="2" xfId="0" applyFont="1" applyFill="1" applyBorder="1">
      <alignment vertical="center"/>
    </xf>
    <xf numFmtId="0" fontId="7" fillId="0" borderId="3" xfId="0" applyFont="1" applyFill="1" applyBorder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0" borderId="2" xfId="0" applyFill="1" applyBorder="1">
      <alignment vertical="center"/>
    </xf>
    <xf numFmtId="0" fontId="9" fillId="9" borderId="1" xfId="0" applyFont="1" applyFill="1" applyBorder="1" applyAlignment="1">
      <alignment horizontal="center" vertical="center" wrapText="1"/>
    </xf>
    <xf numFmtId="0" fontId="10" fillId="0" borderId="4" xfId="0" applyFont="1" applyFill="1" applyBorder="1">
      <alignment vertical="center"/>
    </xf>
    <xf numFmtId="0" fontId="8" fillId="6" borderId="1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>
      <alignment vertical="center"/>
    </xf>
    <xf numFmtId="0" fontId="10" fillId="0" borderId="1" xfId="0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6" xfId="0" applyFont="1" applyFill="1" applyBorder="1">
      <alignment vertical="center"/>
    </xf>
    <xf numFmtId="0" fontId="9" fillId="6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3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0" xfId="0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9" fontId="0" fillId="0" borderId="2" xfId="0" applyNumberForma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8" fillId="12" borderId="1" xfId="0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F7F2"/>
      <color rgb="00425D5F"/>
      <color rgb="00BACACB"/>
      <color rgb="00C9E4B4"/>
      <color rgb="00FDE7A2"/>
      <color rgb="00E7EF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13"/>
  <sheetViews>
    <sheetView zoomScale="85" zoomScaleNormal="85" workbookViewId="0">
      <selection activeCell="K14" sqref="K14"/>
    </sheetView>
  </sheetViews>
  <sheetFormatPr defaultColWidth="8.725" defaultRowHeight="13.5"/>
  <cols>
    <col min="1" max="1" width="13.375" style="6" customWidth="1"/>
    <col min="2" max="2" width="10.4666666666667" style="7" customWidth="1"/>
    <col min="3" max="3" width="16.2833333333333" style="7" customWidth="1"/>
    <col min="4" max="6" width="13.0083333333333" style="7" customWidth="1"/>
    <col min="7" max="7" width="13.9166666666667" style="7" customWidth="1"/>
    <col min="8" max="8" width="13.0083333333333" style="8" customWidth="1"/>
    <col min="9" max="11" width="13.0083333333333" style="7" customWidth="1"/>
    <col min="12" max="12" width="11.0083333333333" style="7" customWidth="1"/>
    <col min="13" max="13" width="21.1666666666667" style="7" customWidth="1"/>
    <col min="14" max="14" width="30.5833333333333" style="7" customWidth="1"/>
    <col min="15" max="15" width="15.9166666666667" style="7" customWidth="1"/>
  </cols>
  <sheetData>
    <row r="1" s="1" customFormat="1" ht="28.5" customHeight="1" spans="1:6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="2" customFormat="1" ht="22.5" customHeight="1" spans="1:62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R2" s="13"/>
    </row>
    <row r="3" s="3" customFormat="1" ht="22.5" customHeight="1" spans="1:62">
      <c r="A3" s="14" t="s">
        <v>16</v>
      </c>
      <c r="B3" s="15" t="s">
        <v>17</v>
      </c>
      <c r="C3" s="15" t="s">
        <v>18</v>
      </c>
      <c r="D3" s="15" t="s">
        <v>19</v>
      </c>
      <c r="E3" s="15">
        <v>39</v>
      </c>
      <c r="F3" s="15">
        <v>21</v>
      </c>
      <c r="G3" s="15">
        <v>30</v>
      </c>
      <c r="H3" s="16">
        <f>E3*G3</f>
        <v>1170</v>
      </c>
      <c r="I3" s="17">
        <v>1170</v>
      </c>
      <c r="J3" s="15" t="s">
        <v>20</v>
      </c>
      <c r="K3" s="15" t="s">
        <v>21</v>
      </c>
      <c r="L3" s="15" t="s">
        <v>20</v>
      </c>
      <c r="M3" s="15"/>
      <c r="N3" s="15"/>
      <c r="O3" s="15"/>
    </row>
    <row r="4" s="4" customFormat="1" ht="22.5" customHeight="1" spans="1:62">
      <c r="A4" s="14" t="s">
        <v>22</v>
      </c>
      <c r="B4" s="15" t="s">
        <v>23</v>
      </c>
      <c r="C4" s="15" t="s">
        <v>18</v>
      </c>
      <c r="D4" s="15" t="s">
        <v>19</v>
      </c>
      <c r="E4" s="15">
        <v>21.35</v>
      </c>
      <c r="F4" s="15">
        <v>8</v>
      </c>
      <c r="G4" s="15">
        <v>30</v>
      </c>
      <c r="H4" s="16">
        <f t="shared" ref="H3:H32" si="0">E4*G4</f>
        <v>640.5</v>
      </c>
      <c r="I4" s="17">
        <v>640</v>
      </c>
      <c r="J4" s="15" t="s">
        <v>20</v>
      </c>
      <c r="K4" s="15" t="s">
        <v>21</v>
      </c>
      <c r="L4" s="15" t="s">
        <v>20</v>
      </c>
      <c r="M4" s="15"/>
      <c r="N4" s="15"/>
      <c r="O4" s="15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="5" customFormat="1" ht="22.5" customHeight="1" spans="1:62">
      <c r="A5" s="14" t="s">
        <v>22</v>
      </c>
      <c r="B5" s="15" t="s">
        <v>24</v>
      </c>
      <c r="C5" s="15" t="s">
        <v>18</v>
      </c>
      <c r="D5" s="15" t="s">
        <v>19</v>
      </c>
      <c r="E5" s="15">
        <v>15.15</v>
      </c>
      <c r="F5" s="15">
        <v>9</v>
      </c>
      <c r="G5" s="15">
        <v>30</v>
      </c>
      <c r="H5" s="16">
        <f t="shared" si="0"/>
        <v>454.5</v>
      </c>
      <c r="I5" s="17">
        <v>454</v>
      </c>
      <c r="J5" s="15" t="s">
        <v>20</v>
      </c>
      <c r="K5" s="15" t="s">
        <v>21</v>
      </c>
      <c r="L5" s="15" t="s">
        <v>20</v>
      </c>
      <c r="M5" s="15"/>
      <c r="N5" s="15"/>
      <c r="O5" s="1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="4" customFormat="1" ht="22.5" customHeight="1" spans="1:62">
      <c r="A6" s="14" t="s">
        <v>22</v>
      </c>
      <c r="B6" s="15" t="s">
        <v>25</v>
      </c>
      <c r="C6" s="15" t="s">
        <v>18</v>
      </c>
      <c r="D6" s="15" t="s">
        <v>19</v>
      </c>
      <c r="E6" s="15">
        <v>15.13</v>
      </c>
      <c r="F6" s="15">
        <v>7</v>
      </c>
      <c r="G6" s="15">
        <v>30</v>
      </c>
      <c r="H6" s="16">
        <f t="shared" si="0"/>
        <v>453.9</v>
      </c>
      <c r="I6" s="17">
        <v>453</v>
      </c>
      <c r="J6" s="15" t="s">
        <v>20</v>
      </c>
      <c r="K6" s="15" t="s">
        <v>21</v>
      </c>
      <c r="L6" s="15" t="s">
        <v>20</v>
      </c>
      <c r="M6" s="15"/>
      <c r="N6" s="15"/>
      <c r="O6" s="15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="5" customFormat="1" ht="22.5" customHeight="1" spans="1:62">
      <c r="A7" s="14" t="s">
        <v>22</v>
      </c>
      <c r="B7" s="15" t="s">
        <v>26</v>
      </c>
      <c r="C7" s="15" t="s">
        <v>18</v>
      </c>
      <c r="D7" s="15" t="s">
        <v>19</v>
      </c>
      <c r="E7" s="15">
        <v>22.54</v>
      </c>
      <c r="F7" s="15">
        <v>13</v>
      </c>
      <c r="G7" s="15">
        <v>30</v>
      </c>
      <c r="H7" s="16">
        <f t="shared" si="0"/>
        <v>676.2</v>
      </c>
      <c r="I7" s="17">
        <v>676</v>
      </c>
      <c r="J7" s="15" t="s">
        <v>20</v>
      </c>
      <c r="K7" s="15" t="s">
        <v>21</v>
      </c>
      <c r="L7" s="15" t="s">
        <v>20</v>
      </c>
      <c r="M7" s="15"/>
      <c r="N7" s="15"/>
      <c r="O7" s="15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="5" customFormat="1" ht="22.5" customHeight="1" spans="1:62">
      <c r="A8" s="14">
        <v>20261.17</v>
      </c>
      <c r="B8" s="15" t="s">
        <v>27</v>
      </c>
      <c r="C8" s="15" t="s">
        <v>28</v>
      </c>
      <c r="D8" s="15" t="s">
        <v>19</v>
      </c>
      <c r="E8" s="15">
        <v>80</v>
      </c>
      <c r="F8" s="15">
        <v>3</v>
      </c>
      <c r="G8" s="15">
        <v>30</v>
      </c>
      <c r="H8" s="16">
        <f t="shared" si="0"/>
        <v>2400</v>
      </c>
      <c r="I8" s="17">
        <v>0</v>
      </c>
      <c r="J8" s="15" t="s">
        <v>21</v>
      </c>
      <c r="K8" s="15" t="s">
        <v>21</v>
      </c>
      <c r="L8" s="19" t="s">
        <v>29</v>
      </c>
      <c r="M8" s="15"/>
      <c r="N8" s="15"/>
      <c r="O8" s="15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="4" customFormat="1" ht="22.5" customHeight="1" spans="1:62">
      <c r="A9" s="14" t="s">
        <v>22</v>
      </c>
      <c r="B9" s="15" t="s">
        <v>30</v>
      </c>
      <c r="C9" s="15" t="s">
        <v>18</v>
      </c>
      <c r="D9" s="15" t="s">
        <v>19</v>
      </c>
      <c r="E9" s="15">
        <v>9.48</v>
      </c>
      <c r="F9" s="15">
        <v>11</v>
      </c>
      <c r="G9" s="15">
        <v>30</v>
      </c>
      <c r="H9" s="16">
        <f t="shared" si="0"/>
        <v>284.4</v>
      </c>
      <c r="I9" s="17">
        <v>284</v>
      </c>
      <c r="J9" s="15" t="s">
        <v>20</v>
      </c>
      <c r="K9" s="15" t="s">
        <v>21</v>
      </c>
      <c r="L9" s="15" t="s">
        <v>20</v>
      </c>
      <c r="M9" s="15"/>
      <c r="N9" s="15"/>
      <c r="O9" s="15"/>
      <c r="P9" s="3"/>
      <c r="Q9" s="20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="5" customFormat="1" ht="22.5" customHeight="1" spans="1:62">
      <c r="A10" s="21" t="s">
        <v>31</v>
      </c>
      <c r="B10" s="15" t="s">
        <v>32</v>
      </c>
      <c r="C10" s="15" t="s">
        <v>33</v>
      </c>
      <c r="D10" s="15" t="s">
        <v>19</v>
      </c>
      <c r="E10" s="15">
        <v>39</v>
      </c>
      <c r="F10" s="15">
        <v>3</v>
      </c>
      <c r="G10" s="15">
        <v>30</v>
      </c>
      <c r="H10" s="16">
        <f t="shared" si="0"/>
        <v>1170</v>
      </c>
      <c r="I10" s="17">
        <v>1170</v>
      </c>
      <c r="J10" s="15" t="s">
        <v>34</v>
      </c>
      <c r="K10" s="15" t="s">
        <v>20</v>
      </c>
      <c r="L10" s="15" t="s">
        <v>20</v>
      </c>
      <c r="M10" s="15"/>
      <c r="N10" s="15"/>
      <c r="O10" s="15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="4" customFormat="1" ht="22.5" customHeight="1" spans="1:62">
      <c r="A11" s="21" t="s">
        <v>31</v>
      </c>
      <c r="B11" s="15" t="s">
        <v>35</v>
      </c>
      <c r="C11" s="15" t="s">
        <v>36</v>
      </c>
      <c r="D11" s="15" t="s">
        <v>19</v>
      </c>
      <c r="E11" s="15">
        <v>30</v>
      </c>
      <c r="F11" s="15">
        <v>10</v>
      </c>
      <c r="G11" s="15">
        <v>30</v>
      </c>
      <c r="H11" s="16">
        <f t="shared" si="0"/>
        <v>900</v>
      </c>
      <c r="I11" s="17">
        <v>800</v>
      </c>
      <c r="J11" s="15" t="s">
        <v>34</v>
      </c>
      <c r="K11" s="15" t="s">
        <v>34</v>
      </c>
      <c r="L11" s="15" t="s">
        <v>34</v>
      </c>
      <c r="M11" s="15"/>
      <c r="N11" s="15"/>
      <c r="O11" s="15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="4" customFormat="1" ht="22.5" customHeight="1" spans="1:62">
      <c r="A12" s="21" t="s">
        <v>31</v>
      </c>
      <c r="B12" s="15" t="s">
        <v>37</v>
      </c>
      <c r="C12" s="15" t="s">
        <v>38</v>
      </c>
      <c r="D12" s="15" t="s">
        <v>19</v>
      </c>
      <c r="E12" s="15">
        <v>36.87</v>
      </c>
      <c r="F12" s="15">
        <v>6</v>
      </c>
      <c r="G12" s="15">
        <v>30</v>
      </c>
      <c r="H12" s="16">
        <f t="shared" si="0"/>
        <v>1106.1</v>
      </c>
      <c r="I12" s="17">
        <v>0</v>
      </c>
      <c r="J12" s="15" t="s">
        <v>21</v>
      </c>
      <c r="K12" s="15" t="s">
        <v>34</v>
      </c>
      <c r="L12" s="19" t="s">
        <v>29</v>
      </c>
      <c r="M12" s="15"/>
      <c r="N12" s="15"/>
      <c r="O12" s="15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="4" customFormat="1" ht="22.5" customHeight="1" spans="1:62">
      <c r="A13" s="21" t="s">
        <v>31</v>
      </c>
      <c r="B13" s="15" t="s">
        <v>39</v>
      </c>
      <c r="C13" s="15" t="s">
        <v>40</v>
      </c>
      <c r="D13" s="15" t="s">
        <v>19</v>
      </c>
      <c r="E13" s="15">
        <v>58.24</v>
      </c>
      <c r="F13" s="15">
        <v>6</v>
      </c>
      <c r="G13" s="15">
        <v>30</v>
      </c>
      <c r="H13" s="16">
        <f t="shared" si="0"/>
        <v>1747.2</v>
      </c>
      <c r="I13" s="17">
        <v>0</v>
      </c>
      <c r="J13" s="15" t="s">
        <v>21</v>
      </c>
      <c r="K13" s="15" t="s">
        <v>34</v>
      </c>
      <c r="L13" s="19" t="s">
        <v>29</v>
      </c>
      <c r="M13" s="15"/>
      <c r="N13" s="15"/>
      <c r="O13" s="15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="4" customFormat="1" ht="22.5" customHeight="1" spans="1:62">
      <c r="A14" s="21" t="s">
        <v>41</v>
      </c>
      <c r="B14" s="15" t="s">
        <v>42</v>
      </c>
      <c r="C14" s="15" t="s">
        <v>18</v>
      </c>
      <c r="D14" s="15" t="s">
        <v>19</v>
      </c>
      <c r="E14" s="15">
        <v>21</v>
      </c>
      <c r="F14" s="15">
        <v>8</v>
      </c>
      <c r="G14" s="15">
        <v>30</v>
      </c>
      <c r="H14" s="16">
        <f t="shared" si="0"/>
        <v>630</v>
      </c>
      <c r="I14" s="17">
        <v>630</v>
      </c>
      <c r="J14" s="15" t="s">
        <v>20</v>
      </c>
      <c r="K14" s="15" t="s">
        <v>21</v>
      </c>
      <c r="L14" s="15" t="s">
        <v>20</v>
      </c>
      <c r="M14" s="15"/>
      <c r="N14" s="15"/>
      <c r="O14" s="15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="5" customFormat="1" ht="22.5" customHeight="1" spans="1:62">
      <c r="A15" s="21" t="s">
        <v>41</v>
      </c>
      <c r="B15" s="15" t="s">
        <v>43</v>
      </c>
      <c r="C15" s="15" t="s">
        <v>18</v>
      </c>
      <c r="D15" s="15" t="s">
        <v>19</v>
      </c>
      <c r="E15" s="15">
        <v>45</v>
      </c>
      <c r="F15" s="15">
        <v>7</v>
      </c>
      <c r="G15" s="15">
        <v>30</v>
      </c>
      <c r="H15" s="16">
        <f t="shared" si="0"/>
        <v>1350</v>
      </c>
      <c r="I15" s="17">
        <v>1350</v>
      </c>
      <c r="J15" s="15" t="s">
        <v>20</v>
      </c>
      <c r="K15" s="15" t="s">
        <v>21</v>
      </c>
      <c r="L15" s="15" t="s">
        <v>20</v>
      </c>
      <c r="M15" s="15"/>
      <c r="N15" s="15"/>
      <c r="O15" s="15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="4" customFormat="1" ht="22.5" customHeight="1" spans="1:62">
      <c r="A16" s="21" t="s">
        <v>41</v>
      </c>
      <c r="B16" s="15" t="s">
        <v>44</v>
      </c>
      <c r="C16" s="15" t="s">
        <v>18</v>
      </c>
      <c r="D16" s="15" t="s">
        <v>19</v>
      </c>
      <c r="E16" s="15">
        <v>40</v>
      </c>
      <c r="F16" s="15">
        <v>9</v>
      </c>
      <c r="G16" s="15">
        <v>30</v>
      </c>
      <c r="H16" s="16">
        <f t="shared" si="0"/>
        <v>1200</v>
      </c>
      <c r="I16" s="17">
        <v>1200</v>
      </c>
      <c r="J16" s="15" t="s">
        <v>20</v>
      </c>
      <c r="K16" s="15" t="s">
        <v>21</v>
      </c>
      <c r="L16" s="15" t="s">
        <v>20</v>
      </c>
      <c r="M16" s="15"/>
      <c r="N16" s="15"/>
      <c r="O16" s="15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="5" customFormat="1" ht="22.5" customHeight="1" spans="1:62">
      <c r="A17" s="21" t="s">
        <v>41</v>
      </c>
      <c r="B17" s="15" t="s">
        <v>45</v>
      </c>
      <c r="C17" s="15" t="s">
        <v>46</v>
      </c>
      <c r="D17" s="15" t="s">
        <v>19</v>
      </c>
      <c r="E17" s="15">
        <v>31</v>
      </c>
      <c r="F17" s="15">
        <v>3</v>
      </c>
      <c r="G17" s="15">
        <v>30</v>
      </c>
      <c r="H17" s="16">
        <f t="shared" si="0"/>
        <v>930</v>
      </c>
      <c r="I17" s="17">
        <v>930</v>
      </c>
      <c r="J17" s="15" t="s">
        <v>20</v>
      </c>
      <c r="K17" s="15" t="s">
        <v>20</v>
      </c>
      <c r="L17" s="15" t="s">
        <v>20</v>
      </c>
      <c r="M17" s="15"/>
      <c r="N17" s="15"/>
      <c r="O17" s="15"/>
      <c r="P17" s="3"/>
      <c r="Q17" s="20"/>
      <c r="R17" s="3"/>
      <c r="S17" s="2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="5" customFormat="1" ht="22.5" customHeight="1" spans="1:62">
      <c r="A18" s="21" t="s">
        <v>47</v>
      </c>
      <c r="B18" s="15" t="s">
        <v>48</v>
      </c>
      <c r="C18" s="15" t="s">
        <v>49</v>
      </c>
      <c r="D18" s="15" t="s">
        <v>19</v>
      </c>
      <c r="E18" s="15">
        <v>62</v>
      </c>
      <c r="F18" s="15">
        <v>1</v>
      </c>
      <c r="G18" s="15">
        <v>30</v>
      </c>
      <c r="H18" s="16">
        <f t="shared" si="0"/>
        <v>1860</v>
      </c>
      <c r="I18" s="17">
        <v>1800</v>
      </c>
      <c r="J18" s="15" t="s">
        <v>34</v>
      </c>
      <c r="K18" s="15" t="s">
        <v>34</v>
      </c>
      <c r="L18" s="15" t="s">
        <v>34</v>
      </c>
      <c r="M18" s="15"/>
      <c r="N18" s="15"/>
      <c r="O18" s="15"/>
      <c r="P18" s="3"/>
      <c r="Q18" s="23"/>
      <c r="R18" s="3"/>
      <c r="S18" s="2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="5" customFormat="1" ht="22.5" customHeight="1" spans="1:62">
      <c r="A19" s="21" t="s">
        <v>50</v>
      </c>
      <c r="B19" s="15" t="s">
        <v>51</v>
      </c>
      <c r="C19" s="15" t="s">
        <v>52</v>
      </c>
      <c r="D19" s="15" t="s">
        <v>19</v>
      </c>
      <c r="E19" s="15">
        <v>27</v>
      </c>
      <c r="F19" s="15">
        <v>7</v>
      </c>
      <c r="G19" s="15">
        <v>30</v>
      </c>
      <c r="H19" s="16">
        <f t="shared" si="0"/>
        <v>810</v>
      </c>
      <c r="I19" s="17">
        <v>800</v>
      </c>
      <c r="J19" s="15" t="s">
        <v>21</v>
      </c>
      <c r="K19" s="15" t="s">
        <v>34</v>
      </c>
      <c r="L19" s="15" t="s">
        <v>34</v>
      </c>
      <c r="M19" s="15"/>
      <c r="N19" s="15"/>
      <c r="O19" s="15"/>
      <c r="P19" s="3"/>
      <c r="Q19" s="23"/>
      <c r="R19" s="3"/>
      <c r="S19" s="2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="5" customFormat="1" ht="22.5" customHeight="1" spans="1:62">
      <c r="A20" s="21" t="s">
        <v>50</v>
      </c>
      <c r="B20" s="15" t="s">
        <v>53</v>
      </c>
      <c r="C20" s="15" t="s">
        <v>52</v>
      </c>
      <c r="D20" s="15" t="s">
        <v>19</v>
      </c>
      <c r="E20" s="15">
        <v>24</v>
      </c>
      <c r="F20" s="15">
        <v>2</v>
      </c>
      <c r="G20" s="15">
        <v>30</v>
      </c>
      <c r="H20" s="16">
        <f t="shared" si="0"/>
        <v>720</v>
      </c>
      <c r="I20" s="17">
        <v>700</v>
      </c>
      <c r="J20" s="15" t="s">
        <v>34</v>
      </c>
      <c r="K20" s="15" t="s">
        <v>34</v>
      </c>
      <c r="L20" s="15" t="s">
        <v>34</v>
      </c>
      <c r="M20" s="15"/>
      <c r="N20" s="15"/>
      <c r="O20" s="15"/>
      <c r="P20" s="3"/>
      <c r="Q20" s="23"/>
      <c r="R20" s="3"/>
      <c r="S20" s="2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="4" customFormat="1" ht="22.5" customHeight="1" spans="1:62">
      <c r="A21" s="21" t="s">
        <v>54</v>
      </c>
      <c r="B21" s="15" t="s">
        <v>55</v>
      </c>
      <c r="C21" s="15" t="s">
        <v>56</v>
      </c>
      <c r="D21" s="15" t="s">
        <v>19</v>
      </c>
      <c r="E21" s="15">
        <v>55</v>
      </c>
      <c r="F21" s="15"/>
      <c r="G21" s="15">
        <v>30</v>
      </c>
      <c r="H21" s="16">
        <f t="shared" si="0"/>
        <v>1650</v>
      </c>
      <c r="I21" s="17">
        <v>1650</v>
      </c>
      <c r="J21" s="15" t="s">
        <v>21</v>
      </c>
      <c r="K21" s="15" t="s">
        <v>21</v>
      </c>
      <c r="L21" s="15" t="s">
        <v>21</v>
      </c>
      <c r="M21" s="15" t="s">
        <v>57</v>
      </c>
      <c r="N21" s="15"/>
      <c r="O21" s="15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="5" customFormat="1" ht="22.5" customHeight="1" spans="1:62">
      <c r="A22" s="21" t="s">
        <v>54</v>
      </c>
      <c r="B22" s="15" t="s">
        <v>58</v>
      </c>
      <c r="C22" s="15" t="s">
        <v>59</v>
      </c>
      <c r="D22" s="15" t="s">
        <v>19</v>
      </c>
      <c r="E22" s="15">
        <v>55</v>
      </c>
      <c r="F22" s="15">
        <v>6</v>
      </c>
      <c r="G22" s="15">
        <v>35</v>
      </c>
      <c r="H22" s="16">
        <f t="shared" si="0"/>
        <v>1925</v>
      </c>
      <c r="I22" s="17">
        <v>1925</v>
      </c>
      <c r="J22" s="15" t="s">
        <v>21</v>
      </c>
      <c r="K22" s="25" t="s">
        <v>60</v>
      </c>
      <c r="L22" s="15" t="s">
        <v>21</v>
      </c>
      <c r="M22" s="15"/>
      <c r="N22" s="15"/>
      <c r="O22" s="15"/>
      <c r="P22" s="26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="4" customFormat="1" ht="22.5" customHeight="1" spans="1:62">
      <c r="A23" s="27" t="s">
        <v>61</v>
      </c>
      <c r="B23" s="15" t="s">
        <v>62</v>
      </c>
      <c r="C23" s="15" t="s">
        <v>38</v>
      </c>
      <c r="D23" s="15" t="s">
        <v>19</v>
      </c>
      <c r="E23" s="15">
        <v>40</v>
      </c>
      <c r="F23" s="15">
        <v>7</v>
      </c>
      <c r="G23" s="15">
        <v>30</v>
      </c>
      <c r="H23" s="16">
        <f t="shared" si="0"/>
        <v>1200</v>
      </c>
      <c r="I23" s="17">
        <v>1200</v>
      </c>
      <c r="J23" s="15" t="s">
        <v>20</v>
      </c>
      <c r="K23" s="15" t="s">
        <v>63</v>
      </c>
      <c r="L23" s="15" t="s">
        <v>34</v>
      </c>
      <c r="M23" s="15"/>
      <c r="N23" s="15"/>
      <c r="O23" s="15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="5" customFormat="1" ht="22.5" customHeight="1" spans="1:62">
      <c r="A24" s="21" t="s">
        <v>61</v>
      </c>
      <c r="B24" s="15" t="s">
        <v>64</v>
      </c>
      <c r="C24" s="15" t="s">
        <v>38</v>
      </c>
      <c r="D24" s="15" t="s">
        <v>19</v>
      </c>
      <c r="E24" s="15">
        <v>25</v>
      </c>
      <c r="F24" s="15">
        <v>8</v>
      </c>
      <c r="G24" s="15">
        <v>30</v>
      </c>
      <c r="H24" s="16">
        <f t="shared" si="0"/>
        <v>750</v>
      </c>
      <c r="I24" s="17">
        <v>750</v>
      </c>
      <c r="J24" s="15" t="s">
        <v>34</v>
      </c>
      <c r="K24" s="15" t="s">
        <v>65</v>
      </c>
      <c r="L24" s="15" t="s">
        <v>34</v>
      </c>
      <c r="M24" s="15"/>
      <c r="N24" s="15"/>
      <c r="O24" s="15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="4" customFormat="1" ht="22.5" customHeight="1" spans="1:62">
      <c r="A25" s="21" t="s">
        <v>61</v>
      </c>
      <c r="B25" s="15" t="s">
        <v>66</v>
      </c>
      <c r="C25" s="15" t="s">
        <v>67</v>
      </c>
      <c r="D25" s="15" t="s">
        <v>19</v>
      </c>
      <c r="E25" s="15">
        <v>20</v>
      </c>
      <c r="F25" s="15">
        <v>3</v>
      </c>
      <c r="G25" s="15">
        <v>35</v>
      </c>
      <c r="H25" s="16">
        <f t="shared" si="0"/>
        <v>700</v>
      </c>
      <c r="I25" s="17">
        <v>700</v>
      </c>
      <c r="J25" s="15" t="s">
        <v>21</v>
      </c>
      <c r="K25" s="15" t="s">
        <v>65</v>
      </c>
      <c r="L25" s="15" t="s">
        <v>34</v>
      </c>
      <c r="M25" s="15"/>
      <c r="N25" s="15"/>
      <c r="O25" s="15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="5" customFormat="1" ht="22.5" customHeight="1" spans="1:62">
      <c r="A26" s="21" t="s">
        <v>68</v>
      </c>
      <c r="B26" s="15" t="s">
        <v>69</v>
      </c>
      <c r="C26" s="15" t="s">
        <v>70</v>
      </c>
      <c r="D26" s="15" t="s">
        <v>19</v>
      </c>
      <c r="E26" s="15">
        <v>24</v>
      </c>
      <c r="F26" s="15">
        <v>8</v>
      </c>
      <c r="G26" s="15">
        <v>30</v>
      </c>
      <c r="H26" s="16">
        <f t="shared" si="0"/>
        <v>720</v>
      </c>
      <c r="I26" s="17">
        <v>720</v>
      </c>
      <c r="J26" s="15" t="s">
        <v>21</v>
      </c>
      <c r="K26" s="15" t="s">
        <v>71</v>
      </c>
      <c r="L26" s="15" t="s">
        <v>21</v>
      </c>
      <c r="M26" s="15"/>
      <c r="N26" s="15"/>
      <c r="O26" s="15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="4" customFormat="1" ht="22.5" customHeight="1" spans="1:62">
      <c r="A27" s="21" t="s">
        <v>72</v>
      </c>
      <c r="B27" s="15" t="s">
        <v>73</v>
      </c>
      <c r="C27" s="15" t="s">
        <v>74</v>
      </c>
      <c r="D27" s="15" t="s">
        <v>19</v>
      </c>
      <c r="E27" s="15">
        <v>25.3</v>
      </c>
      <c r="F27" s="15">
        <v>6</v>
      </c>
      <c r="G27" s="15">
        <v>30</v>
      </c>
      <c r="H27" s="16">
        <f t="shared" si="0"/>
        <v>759</v>
      </c>
      <c r="I27" s="17">
        <v>760</v>
      </c>
      <c r="J27" s="15" t="s">
        <v>21</v>
      </c>
      <c r="K27" s="15" t="s">
        <v>71</v>
      </c>
      <c r="L27" s="15" t="s">
        <v>21</v>
      </c>
      <c r="M27" s="15"/>
      <c r="N27" s="15"/>
      <c r="O27" s="15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="5" customFormat="1" ht="22.5" customHeight="1" spans="1:62">
      <c r="A28" s="21" t="s">
        <v>72</v>
      </c>
      <c r="B28" s="15" t="s">
        <v>75</v>
      </c>
      <c r="C28" s="15" t="s">
        <v>40</v>
      </c>
      <c r="D28" s="15" t="s">
        <v>19</v>
      </c>
      <c r="E28" s="15">
        <v>55</v>
      </c>
      <c r="F28" s="15">
        <v>1</v>
      </c>
      <c r="G28" s="15">
        <v>30</v>
      </c>
      <c r="H28" s="16">
        <f t="shared" si="0"/>
        <v>1650</v>
      </c>
      <c r="I28" s="17">
        <v>1650</v>
      </c>
      <c r="J28" s="15" t="s">
        <v>21</v>
      </c>
      <c r="K28" s="15" t="s">
        <v>71</v>
      </c>
      <c r="L28" s="15" t="s">
        <v>21</v>
      </c>
      <c r="M28" s="15"/>
      <c r="N28" s="15"/>
      <c r="O28" s="15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="4" customFormat="1" ht="22.5" customHeight="1" spans="1:62">
      <c r="A29" s="21" t="s">
        <v>72</v>
      </c>
      <c r="B29" s="15" t="s">
        <v>76</v>
      </c>
      <c r="C29" s="15" t="s">
        <v>18</v>
      </c>
      <c r="D29" s="15" t="s">
        <v>19</v>
      </c>
      <c r="E29" s="15">
        <v>15</v>
      </c>
      <c r="F29" s="15">
        <v>7</v>
      </c>
      <c r="G29" s="15">
        <v>30</v>
      </c>
      <c r="H29" s="16">
        <f t="shared" si="0"/>
        <v>450</v>
      </c>
      <c r="I29" s="17">
        <v>450</v>
      </c>
      <c r="J29" s="15" t="s">
        <v>20</v>
      </c>
      <c r="K29" s="15" t="s">
        <v>20</v>
      </c>
      <c r="L29" s="15" t="s">
        <v>20</v>
      </c>
      <c r="M29" s="15"/>
      <c r="N29" s="15" t="s">
        <v>77</v>
      </c>
      <c r="O29" s="15">
        <v>610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="5" customFormat="1" ht="22.5" customHeight="1" spans="1:62">
      <c r="A30" s="21"/>
      <c r="B30" s="15"/>
      <c r="C30" s="15"/>
      <c r="D30" s="15"/>
      <c r="E30" s="15"/>
      <c r="F30" s="15"/>
      <c r="G30" s="15"/>
      <c r="H30" s="16">
        <f t="shared" si="0"/>
        <v>0</v>
      </c>
      <c r="I30" s="17"/>
      <c r="J30" s="15"/>
      <c r="K30" s="15"/>
      <c r="L30" s="15"/>
      <c r="M30" s="15"/>
      <c r="N30" s="15"/>
      <c r="O30" s="15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="4" customFormat="1" ht="22.5" customHeight="1" spans="1:62">
      <c r="A31" s="21"/>
      <c r="B31" s="15"/>
      <c r="C31" s="15"/>
      <c r="D31" s="15"/>
      <c r="E31" s="15"/>
      <c r="F31" s="15"/>
      <c r="G31" s="15"/>
      <c r="H31" s="16">
        <f t="shared" si="0"/>
        <v>0</v>
      </c>
      <c r="I31" s="17"/>
      <c r="J31" s="15"/>
      <c r="K31" s="15"/>
      <c r="L31" s="15"/>
      <c r="M31" s="15"/>
      <c r="N31" s="15"/>
      <c r="O31" s="15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="5" customFormat="1" ht="22.5" customHeight="1" spans="1:62">
      <c r="A32" s="21"/>
      <c r="B32" s="15"/>
      <c r="C32" s="15"/>
      <c r="D32" s="15"/>
      <c r="E32" s="15"/>
      <c r="F32" s="15"/>
      <c r="G32" s="15"/>
      <c r="H32" s="16">
        <f t="shared" si="0"/>
        <v>0</v>
      </c>
      <c r="I32" s="17"/>
      <c r="J32" s="15"/>
      <c r="K32" s="15"/>
      <c r="L32" s="15"/>
      <c r="M32" s="15"/>
      <c r="N32" s="15"/>
      <c r="O32" s="15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customFormat="1" ht="22.5" customHeight="1" spans="1:62">
      <c r="A33" s="21"/>
      <c r="B33" s="15"/>
      <c r="C33" s="15"/>
      <c r="D33" s="15"/>
      <c r="E33" s="15">
        <f>SUM(E3:E31)</f>
        <v>931.06</v>
      </c>
      <c r="F33" s="15">
        <f>SUM(F3:F31)</f>
        <v>180</v>
      </c>
      <c r="G33" s="15"/>
      <c r="H33" s="16">
        <f>SUM(H3:H32)</f>
        <v>28306.8</v>
      </c>
      <c r="I33" s="17">
        <f>SUM(I3:I32)</f>
        <v>22862</v>
      </c>
      <c r="J33" s="15"/>
      <c r="K33" s="15"/>
      <c r="L33" s="15"/>
      <c r="M33" s="15"/>
      <c r="N33" s="15"/>
      <c r="O33" s="15">
        <f>SUM(O3:O31)</f>
        <v>610</v>
      </c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</row>
    <row r="34" spans="1:62">
      <c r="A34" s="29"/>
      <c r="B34" s="30"/>
      <c r="C34" s="30"/>
      <c r="D34" s="30"/>
      <c r="E34" s="30"/>
      <c r="F34" s="30"/>
      <c r="G34" s="30"/>
      <c r="H34" s="31"/>
      <c r="I34" s="30"/>
      <c r="J34" s="30"/>
      <c r="K34" s="30"/>
      <c r="L34" s="30"/>
      <c r="M34" s="30"/>
      <c r="N34" s="30"/>
      <c r="O34" s="30"/>
    </row>
    <row r="35" spans="1:62">
      <c r="H35" s="32"/>
    </row>
    <row r="36" spans="1:62">
      <c r="H36" s="32"/>
    </row>
    <row r="37" spans="1:62">
      <c r="H37" s="32"/>
    </row>
    <row r="38" spans="1:62">
      <c r="H38" s="32"/>
    </row>
    <row r="39" spans="1:62">
      <c r="H39" s="32"/>
    </row>
    <row r="40" spans="1:62">
      <c r="H40" s="32"/>
    </row>
    <row r="41" spans="1:62">
      <c r="H41" s="32"/>
    </row>
    <row r="42" spans="1:62">
      <c r="H42" s="32"/>
    </row>
    <row r="43" spans="1:62">
      <c r="H43" s="32"/>
    </row>
    <row r="44" spans="1:62">
      <c r="H44" s="32"/>
    </row>
    <row r="45" spans="1:62">
      <c r="H45" s="32"/>
    </row>
    <row r="46" spans="1:62">
      <c r="H46" s="32"/>
    </row>
    <row r="47" spans="1:62">
      <c r="H47" s="32"/>
    </row>
    <row r="48" spans="1:62">
      <c r="H48" s="32"/>
    </row>
    <row r="49" spans="8:8">
      <c r="H49" s="32"/>
    </row>
    <row r="50" spans="8:8">
      <c r="H50" s="32"/>
    </row>
    <row r="51" spans="8:8">
      <c r="H51" s="32"/>
    </row>
    <row r="52" spans="8:8">
      <c r="H52" s="32"/>
    </row>
    <row r="53" spans="8:8">
      <c r="H53" s="32"/>
    </row>
    <row r="54" spans="8:8">
      <c r="H54" s="32"/>
    </row>
    <row r="55" spans="8:8">
      <c r="H55" s="32"/>
    </row>
    <row r="56" spans="8:8">
      <c r="H56" s="32"/>
    </row>
    <row r="57" spans="8:8">
      <c r="H57" s="32"/>
    </row>
    <row r="58" spans="8:8">
      <c r="H58" s="32"/>
    </row>
    <row r="59" spans="8:8">
      <c r="H59" s="32"/>
    </row>
    <row r="60" spans="8:8">
      <c r="H60" s="32"/>
    </row>
    <row r="61" spans="8:8">
      <c r="H61" s="32"/>
    </row>
    <row r="62" spans="8:8">
      <c r="H62" s="32"/>
    </row>
    <row r="63" spans="8:8">
      <c r="H63" s="32"/>
    </row>
    <row r="64" spans="8:8">
      <c r="H64" s="32"/>
    </row>
    <row r="65" spans="8:8">
      <c r="H65" s="32"/>
    </row>
    <row r="66" spans="8:8">
      <c r="H66" s="32"/>
    </row>
    <row r="67" spans="8:8">
      <c r="H67" s="32"/>
    </row>
    <row r="68" spans="8:8">
      <c r="H68" s="32"/>
    </row>
    <row r="69" spans="8:8">
      <c r="H69" s="32"/>
    </row>
    <row r="70" spans="8:8">
      <c r="H70" s="32"/>
    </row>
    <row r="71" spans="8:8">
      <c r="H71" s="32"/>
    </row>
    <row r="72" spans="8:8">
      <c r="H72" s="32"/>
    </row>
    <row r="73" spans="8:8">
      <c r="H73" s="32"/>
    </row>
    <row r="74" spans="8:8">
      <c r="H74" s="32"/>
    </row>
    <row r="75" spans="8:8">
      <c r="H75" s="32"/>
    </row>
    <row r="76" spans="8:8">
      <c r="H76" s="32"/>
    </row>
    <row r="77" spans="8:8">
      <c r="H77" s="32"/>
    </row>
    <row r="78" spans="8:8">
      <c r="H78" s="32"/>
    </row>
    <row r="79" spans="8:8">
      <c r="H79" s="32"/>
    </row>
    <row r="80" spans="8:8">
      <c r="H80" s="32"/>
    </row>
    <row r="81" spans="8:8">
      <c r="H81" s="32"/>
    </row>
    <row r="82" spans="8:8">
      <c r="H82" s="32"/>
    </row>
    <row r="83" spans="8:8">
      <c r="H83" s="32"/>
    </row>
    <row r="84" spans="8:8">
      <c r="H84" s="32"/>
    </row>
    <row r="85" spans="8:8">
      <c r="H85" s="32"/>
    </row>
    <row r="86" spans="8:8">
      <c r="H86" s="32"/>
    </row>
    <row r="87" spans="8:8">
      <c r="H87" s="32"/>
    </row>
    <row r="88" spans="8:8">
      <c r="H88" s="32"/>
    </row>
    <row r="89" spans="8:8">
      <c r="H89" s="32"/>
    </row>
    <row r="90" spans="8:8">
      <c r="H90" s="32"/>
    </row>
    <row r="91" spans="8:8">
      <c r="H91" s="32"/>
    </row>
    <row r="92" spans="8:8">
      <c r="H92" s="32"/>
    </row>
    <row r="93" spans="8:8">
      <c r="H93" s="32"/>
    </row>
    <row r="94" spans="8:8">
      <c r="H94" s="32"/>
    </row>
    <row r="95" spans="8:8">
      <c r="H95" s="32"/>
    </row>
    <row r="96" spans="8:8">
      <c r="H96" s="32"/>
    </row>
    <row r="97" spans="8:8">
      <c r="H97" s="32"/>
    </row>
    <row r="98" spans="8:8">
      <c r="H98" s="32"/>
    </row>
    <row r="99" spans="8:8">
      <c r="H99" s="32"/>
    </row>
    <row r="100" spans="8:8">
      <c r="H100" s="32"/>
    </row>
    <row r="101" spans="8:8">
      <c r="H101" s="32"/>
    </row>
    <row r="102" spans="8:8">
      <c r="H102" s="32"/>
    </row>
    <row r="103" spans="8:8">
      <c r="H103" s="32"/>
    </row>
    <row r="104" spans="8:8">
      <c r="H104" s="32"/>
    </row>
    <row r="105" spans="8:8">
      <c r="H105" s="32"/>
    </row>
    <row r="106" spans="8:8">
      <c r="H106" s="32"/>
    </row>
    <row r="107" spans="8:8">
      <c r="H107" s="32"/>
    </row>
    <row r="108" spans="8:8">
      <c r="H108" s="32"/>
    </row>
    <row r="109" spans="8:8">
      <c r="H109" s="32"/>
    </row>
    <row r="110" spans="8:8">
      <c r="H110" s="32"/>
    </row>
    <row r="111" spans="8:8">
      <c r="H111" s="32"/>
    </row>
    <row r="112" spans="8:8">
      <c r="H112" s="32"/>
    </row>
    <row r="113" spans="8:8">
      <c r="H113" s="32"/>
    </row>
  </sheetData>
  <mergeCells count="1">
    <mergeCell ref="A1:O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20"/>
  <sheetViews>
    <sheetView workbookViewId="0">
      <selection activeCell="K14" sqref="K14"/>
    </sheetView>
  </sheetViews>
  <sheetFormatPr defaultColWidth="8.725" defaultRowHeight="13.5"/>
  <cols>
    <col min="1" max="1" width="13.375" style="6" customWidth="1"/>
    <col min="2" max="2" width="10.4666666666667" style="7" customWidth="1"/>
    <col min="3" max="3" width="16.2833333333333" style="7" customWidth="1"/>
    <col min="4" max="5" width="13.0083333333333" style="7" customWidth="1"/>
    <col min="6" max="6" width="13.9166666666667" style="7" customWidth="1"/>
    <col min="7" max="7" width="13.0083333333333" style="8" customWidth="1"/>
    <col min="8" max="10" width="13.0083333333333" style="7" customWidth="1"/>
    <col min="11" max="11" width="11.0083333333333" style="7" customWidth="1"/>
    <col min="12" max="12" width="10.4666666666667" style="7" customWidth="1"/>
    <col min="13" max="13" width="13.0083333333333" style="7" customWidth="1"/>
    <col min="14" max="14" width="15.9166666666667" style="7" customWidth="1"/>
    <col min="15" max="15" width="8.725" style="33"/>
    <col min="16" max="16" width="16.6333333333333" style="33" customWidth="1"/>
    <col min="17" max="17" width="11.1833333333333" style="33" customWidth="1"/>
    <col min="18" max="20" width="8.725" style="33"/>
  </cols>
  <sheetData>
    <row r="1" s="1" customFormat="1" ht="28.5" customHeight="1" spans="1:6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"/>
      <c r="P1" s="34"/>
      <c r="Q1" s="34"/>
      <c r="R1" s="34"/>
      <c r="S1" s="34"/>
      <c r="T1" s="34"/>
    </row>
    <row r="2" s="2" customFormat="1" ht="22.5" customHeight="1" spans="1:62">
      <c r="A2" s="10" t="s">
        <v>1</v>
      </c>
      <c r="B2" s="11" t="s">
        <v>2</v>
      </c>
      <c r="C2" s="11" t="s">
        <v>3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35"/>
      <c r="P2" s="36" t="s">
        <v>78</v>
      </c>
      <c r="Q2" s="36"/>
      <c r="R2" s="37"/>
      <c r="S2" s="36"/>
      <c r="T2" s="36"/>
    </row>
    <row r="3" s="3" customFormat="1" ht="22.5" customHeight="1" spans="1:62">
      <c r="A3" s="14" t="s">
        <v>79</v>
      </c>
      <c r="B3" s="15" t="s">
        <v>80</v>
      </c>
      <c r="C3" s="15" t="s">
        <v>81</v>
      </c>
      <c r="D3" s="15">
        <v>40</v>
      </c>
      <c r="E3" s="15">
        <v>6</v>
      </c>
      <c r="F3" s="15">
        <v>25</v>
      </c>
      <c r="G3" s="16">
        <f t="shared" ref="G3:G8" si="0">D3*F3</f>
        <v>1000</v>
      </c>
      <c r="H3" s="57">
        <v>1000</v>
      </c>
      <c r="I3" s="15" t="s">
        <v>82</v>
      </c>
      <c r="J3" s="15" t="s">
        <v>20</v>
      </c>
      <c r="K3" s="15" t="s">
        <v>20</v>
      </c>
      <c r="L3" s="15"/>
      <c r="M3" s="15"/>
      <c r="N3" s="15"/>
      <c r="O3" s="38"/>
      <c r="P3" s="39"/>
      <c r="Q3" s="39"/>
      <c r="R3" s="39"/>
      <c r="S3" s="39"/>
      <c r="T3" s="39"/>
    </row>
    <row r="4" s="4" customFormat="1" ht="22.5" customHeight="1" spans="1:62">
      <c r="A4" s="14" t="s">
        <v>83</v>
      </c>
      <c r="B4" s="15" t="s">
        <v>84</v>
      </c>
      <c r="C4" s="15" t="s">
        <v>85</v>
      </c>
      <c r="D4" s="15">
        <v>31</v>
      </c>
      <c r="E4" s="15">
        <v>4</v>
      </c>
      <c r="F4" s="15">
        <v>25</v>
      </c>
      <c r="G4" s="16">
        <f t="shared" si="0"/>
        <v>775</v>
      </c>
      <c r="H4" s="57">
        <v>775</v>
      </c>
      <c r="I4" s="15" t="s">
        <v>82</v>
      </c>
      <c r="J4" s="15" t="s">
        <v>20</v>
      </c>
      <c r="K4" s="15" t="s">
        <v>20</v>
      </c>
      <c r="L4" s="15"/>
      <c r="M4" s="15"/>
      <c r="N4" s="15"/>
      <c r="O4" s="38" t="s">
        <v>86</v>
      </c>
      <c r="P4" s="39" t="s">
        <v>87</v>
      </c>
      <c r="Q4" s="39">
        <v>500</v>
      </c>
      <c r="R4" s="39" t="s">
        <v>20</v>
      </c>
      <c r="S4" s="39"/>
      <c r="T4" s="39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="5" customFormat="1" ht="22.5" customHeight="1" spans="1:62">
      <c r="A5" s="14" t="s">
        <v>83</v>
      </c>
      <c r="B5" s="15" t="s">
        <v>88</v>
      </c>
      <c r="C5" s="15" t="s">
        <v>85</v>
      </c>
      <c r="D5" s="15">
        <v>29</v>
      </c>
      <c r="E5" s="15">
        <v>4</v>
      </c>
      <c r="F5" s="15">
        <v>25</v>
      </c>
      <c r="G5" s="16">
        <f t="shared" si="0"/>
        <v>725</v>
      </c>
      <c r="H5" s="57">
        <v>725</v>
      </c>
      <c r="I5" s="15" t="s">
        <v>82</v>
      </c>
      <c r="J5" s="15" t="s">
        <v>20</v>
      </c>
      <c r="K5" s="4" t="s">
        <v>89</v>
      </c>
      <c r="L5" s="15"/>
      <c r="M5" s="15"/>
      <c r="N5" s="15"/>
      <c r="O5" s="38"/>
      <c r="P5" s="39" t="s">
        <v>90</v>
      </c>
      <c r="Q5" s="39">
        <v>200</v>
      </c>
      <c r="R5" s="39" t="s">
        <v>20</v>
      </c>
      <c r="S5" s="39"/>
      <c r="T5" s="39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="4" customFormat="1" ht="22.5" customHeight="1" spans="1:62">
      <c r="A6" s="14" t="s">
        <v>83</v>
      </c>
      <c r="B6" s="15" t="s">
        <v>91</v>
      </c>
      <c r="C6" s="15" t="s">
        <v>85</v>
      </c>
      <c r="D6" s="15">
        <v>30</v>
      </c>
      <c r="E6" s="15">
        <v>7</v>
      </c>
      <c r="F6" s="15">
        <v>25</v>
      </c>
      <c r="G6" s="16">
        <f t="shared" si="0"/>
        <v>750</v>
      </c>
      <c r="H6" s="57">
        <v>750</v>
      </c>
      <c r="I6" s="15" t="s">
        <v>82</v>
      </c>
      <c r="J6" s="15" t="s">
        <v>20</v>
      </c>
      <c r="K6" s="15" t="s">
        <v>20</v>
      </c>
      <c r="L6" s="15"/>
      <c r="M6" s="15"/>
      <c r="N6" s="15"/>
      <c r="O6" s="38"/>
      <c r="P6" s="39" t="s">
        <v>92</v>
      </c>
      <c r="Q6" s="39">
        <v>100</v>
      </c>
      <c r="R6" s="39" t="s">
        <v>20</v>
      </c>
      <c r="S6" s="39"/>
      <c r="T6" s="39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="5" customFormat="1" ht="22.5" customHeight="1" spans="1:62">
      <c r="A7" s="14" t="s">
        <v>93</v>
      </c>
      <c r="B7" s="15" t="s">
        <v>94</v>
      </c>
      <c r="C7" s="15" t="s">
        <v>85</v>
      </c>
      <c r="D7" s="15">
        <v>18</v>
      </c>
      <c r="E7" s="15">
        <v>4</v>
      </c>
      <c r="F7" s="15">
        <v>25</v>
      </c>
      <c r="G7" s="16">
        <f t="shared" si="0"/>
        <v>450</v>
      </c>
      <c r="H7" s="57">
        <v>450</v>
      </c>
      <c r="I7" s="15" t="s">
        <v>82</v>
      </c>
      <c r="J7" s="15" t="s">
        <v>20</v>
      </c>
      <c r="K7" s="15" t="s">
        <v>20</v>
      </c>
      <c r="L7" s="15"/>
      <c r="M7" s="15"/>
      <c r="N7" s="15"/>
      <c r="O7" s="38"/>
      <c r="P7" s="39" t="s">
        <v>95</v>
      </c>
      <c r="Q7" s="39">
        <v>32</v>
      </c>
      <c r="R7" s="39" t="s">
        <v>20</v>
      </c>
      <c r="S7" s="39"/>
      <c r="T7" s="39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="5" customFormat="1" ht="22.5" customHeight="1" spans="1:62">
      <c r="A8" s="14" t="s">
        <v>96</v>
      </c>
      <c r="B8" s="15" t="s">
        <v>97</v>
      </c>
      <c r="C8" s="15" t="s">
        <v>98</v>
      </c>
      <c r="D8" s="15">
        <v>20</v>
      </c>
      <c r="E8" s="15">
        <v>5</v>
      </c>
      <c r="F8" s="15">
        <v>25</v>
      </c>
      <c r="G8" s="16">
        <f t="shared" si="0"/>
        <v>500</v>
      </c>
      <c r="H8" s="57">
        <v>500</v>
      </c>
      <c r="I8" s="15" t="s">
        <v>82</v>
      </c>
      <c r="J8" s="15" t="s">
        <v>20</v>
      </c>
      <c r="K8" s="15" t="s">
        <v>20</v>
      </c>
      <c r="L8" s="15"/>
      <c r="M8" s="15"/>
      <c r="N8" s="15"/>
      <c r="O8" s="38" t="s">
        <v>99</v>
      </c>
      <c r="P8" s="39" t="s">
        <v>92</v>
      </c>
      <c r="Q8" s="39">
        <v>323</v>
      </c>
      <c r="R8" s="39" t="s">
        <v>20</v>
      </c>
      <c r="S8" s="39"/>
      <c r="T8" s="39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="5" customFormat="1" ht="22.5" customHeight="1" spans="1:62">
      <c r="A9" s="14" t="s">
        <v>100</v>
      </c>
      <c r="B9" s="15" t="s">
        <v>39</v>
      </c>
      <c r="C9" s="15" t="s">
        <v>101</v>
      </c>
      <c r="D9" s="15">
        <v>50</v>
      </c>
      <c r="E9" s="15">
        <v>1</v>
      </c>
      <c r="F9" s="15">
        <v>25</v>
      </c>
      <c r="G9" s="16">
        <v>1150</v>
      </c>
      <c r="H9" s="57">
        <v>1150</v>
      </c>
      <c r="I9" s="15" t="s">
        <v>82</v>
      </c>
      <c r="J9" s="15" t="s">
        <v>20</v>
      </c>
      <c r="K9" s="15" t="s">
        <v>20</v>
      </c>
      <c r="L9" s="15"/>
      <c r="M9" s="15"/>
      <c r="N9" s="15"/>
      <c r="O9" s="38"/>
      <c r="P9" s="39" t="s">
        <v>102</v>
      </c>
      <c r="Q9" s="39">
        <v>19</v>
      </c>
      <c r="R9" s="39" t="s">
        <v>20</v>
      </c>
      <c r="S9" s="39"/>
      <c r="T9" s="39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="4" customFormat="1" ht="22.5" customHeight="1" spans="1:62">
      <c r="A10" s="14" t="s">
        <v>96</v>
      </c>
      <c r="B10" s="15" t="s">
        <v>103</v>
      </c>
      <c r="C10" s="15" t="s">
        <v>98</v>
      </c>
      <c r="D10" s="15">
        <v>19</v>
      </c>
      <c r="E10" s="15">
        <v>5</v>
      </c>
      <c r="F10" s="15">
        <v>25</v>
      </c>
      <c r="G10" s="16">
        <f>D10*F10</f>
        <v>475</v>
      </c>
      <c r="H10" s="57">
        <v>480</v>
      </c>
      <c r="I10" s="15" t="s">
        <v>82</v>
      </c>
      <c r="J10" s="15" t="s">
        <v>20</v>
      </c>
      <c r="K10" s="15" t="s">
        <v>20</v>
      </c>
      <c r="L10" s="15"/>
      <c r="M10" s="15"/>
      <c r="N10" s="15"/>
      <c r="O10" s="38"/>
      <c r="P10" s="39" t="s">
        <v>104</v>
      </c>
      <c r="Q10" s="58">
        <v>40</v>
      </c>
      <c r="R10" s="39" t="s">
        <v>20</v>
      </c>
      <c r="S10" s="39"/>
      <c r="T10" s="39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="5" customFormat="1" ht="22.5" customHeight="1" spans="1:62">
      <c r="A11" s="21" t="s">
        <v>96</v>
      </c>
      <c r="B11" s="15" t="s">
        <v>105</v>
      </c>
      <c r="C11" s="15" t="s">
        <v>101</v>
      </c>
      <c r="D11" s="15">
        <v>27</v>
      </c>
      <c r="E11" s="15">
        <v>1</v>
      </c>
      <c r="F11" s="15">
        <v>25</v>
      </c>
      <c r="G11" s="16">
        <f>D11*F11</f>
        <v>675</v>
      </c>
      <c r="H11" s="57">
        <v>675</v>
      </c>
      <c r="I11" s="15" t="s">
        <v>82</v>
      </c>
      <c r="J11" s="15" t="s">
        <v>20</v>
      </c>
      <c r="K11" s="15" t="s">
        <v>20</v>
      </c>
      <c r="L11" s="15"/>
      <c r="M11" s="15"/>
      <c r="N11" s="15"/>
      <c r="O11" s="38" t="s">
        <v>106</v>
      </c>
      <c r="P11" s="39" t="s">
        <v>92</v>
      </c>
      <c r="Q11" s="39">
        <v>220</v>
      </c>
      <c r="R11" s="39" t="s">
        <v>20</v>
      </c>
      <c r="S11" s="39"/>
      <c r="T11" s="39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="5" customFormat="1" ht="22.5" customHeight="1" spans="1:62">
      <c r="A12" s="21" t="s">
        <v>107</v>
      </c>
      <c r="B12" s="15" t="s">
        <v>108</v>
      </c>
      <c r="C12" s="15" t="s">
        <v>101</v>
      </c>
      <c r="D12" s="15">
        <v>24.84</v>
      </c>
      <c r="E12" s="15">
        <v>4</v>
      </c>
      <c r="F12" s="15">
        <v>25</v>
      </c>
      <c r="G12" s="16">
        <v>621</v>
      </c>
      <c r="H12" s="57">
        <v>620</v>
      </c>
      <c r="I12" s="15"/>
      <c r="J12" s="15"/>
      <c r="K12" s="15"/>
      <c r="L12" s="15"/>
      <c r="M12" s="15"/>
      <c r="N12" s="15"/>
      <c r="O12" s="38"/>
      <c r="P12" s="39"/>
      <c r="Q12" s="39"/>
      <c r="R12" s="39"/>
      <c r="S12" s="39"/>
      <c r="T12" s="39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="4" customFormat="1" ht="22.5" customHeight="1" spans="1:62">
      <c r="A13" s="21" t="s">
        <v>109</v>
      </c>
      <c r="B13" s="15" t="s">
        <v>110</v>
      </c>
      <c r="C13" s="15" t="s">
        <v>111</v>
      </c>
      <c r="D13" s="15">
        <v>37</v>
      </c>
      <c r="E13" s="15">
        <v>6</v>
      </c>
      <c r="F13" s="15">
        <v>25</v>
      </c>
      <c r="G13" s="16">
        <f>D13*F13</f>
        <v>925</v>
      </c>
      <c r="H13" s="59">
        <v>925</v>
      </c>
      <c r="I13" s="15" t="s">
        <v>82</v>
      </c>
      <c r="J13" s="15" t="s">
        <v>20</v>
      </c>
      <c r="K13" s="15" t="s">
        <v>20</v>
      </c>
      <c r="L13" s="15"/>
      <c r="M13" s="15"/>
      <c r="N13" s="15"/>
      <c r="O13" s="38" t="s">
        <v>112</v>
      </c>
      <c r="P13" s="39" t="s">
        <v>92</v>
      </c>
      <c r="Q13" s="39">
        <v>529</v>
      </c>
      <c r="R13" s="39" t="s">
        <v>20</v>
      </c>
      <c r="S13" s="39"/>
      <c r="T13" s="39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="4" customFormat="1" ht="22.5" customHeight="1" spans="1:62">
      <c r="A14" s="21" t="s">
        <v>109</v>
      </c>
      <c r="B14" s="15" t="s">
        <v>113</v>
      </c>
      <c r="C14" s="15" t="s">
        <v>114</v>
      </c>
      <c r="D14" s="15">
        <v>78</v>
      </c>
      <c r="E14" s="15"/>
      <c r="F14" s="15">
        <v>15</v>
      </c>
      <c r="G14" s="16">
        <v>1200</v>
      </c>
      <c r="H14" s="60">
        <v>1200</v>
      </c>
      <c r="I14" s="15"/>
      <c r="J14" s="15"/>
      <c r="K14" s="15"/>
      <c r="L14" s="15"/>
      <c r="M14" s="15"/>
      <c r="N14" s="15"/>
      <c r="O14" s="38" t="s">
        <v>115</v>
      </c>
      <c r="P14" s="39" t="s">
        <v>92</v>
      </c>
      <c r="Q14" s="39">
        <v>357</v>
      </c>
      <c r="R14" s="39" t="s">
        <v>20</v>
      </c>
      <c r="S14" s="39"/>
      <c r="T14" s="39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="4" customFormat="1" ht="22.5" customHeight="1" spans="1:62">
      <c r="A15" s="21" t="s">
        <v>109</v>
      </c>
      <c r="B15" s="15" t="s">
        <v>27</v>
      </c>
      <c r="C15" s="15" t="s">
        <v>28</v>
      </c>
      <c r="D15" s="15">
        <v>80</v>
      </c>
      <c r="E15" s="15">
        <v>1</v>
      </c>
      <c r="F15" s="15">
        <v>25</v>
      </c>
      <c r="G15" s="16">
        <f t="shared" ref="G15:G24" si="1">D15*F15</f>
        <v>2000</v>
      </c>
      <c r="H15" s="57">
        <v>2000</v>
      </c>
      <c r="I15" s="15" t="s">
        <v>82</v>
      </c>
      <c r="J15" s="15" t="s">
        <v>20</v>
      </c>
      <c r="K15" s="15" t="s">
        <v>20</v>
      </c>
      <c r="L15" s="15"/>
      <c r="M15" s="15"/>
      <c r="N15" s="15"/>
      <c r="O15" s="38" t="s">
        <v>116</v>
      </c>
      <c r="P15" s="39" t="s">
        <v>92</v>
      </c>
      <c r="Q15" s="39">
        <v>270</v>
      </c>
      <c r="R15" s="39" t="s">
        <v>20</v>
      </c>
      <c r="S15" s="39"/>
      <c r="T15" s="39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="4" customFormat="1" ht="22.5" customHeight="1" spans="1:62">
      <c r="A16" s="21" t="s">
        <v>117</v>
      </c>
      <c r="B16" s="15" t="s">
        <v>44</v>
      </c>
      <c r="C16" s="15" t="s">
        <v>118</v>
      </c>
      <c r="D16" s="15">
        <v>40</v>
      </c>
      <c r="E16" s="15">
        <v>9</v>
      </c>
      <c r="F16" s="15">
        <v>25</v>
      </c>
      <c r="G16" s="16">
        <f t="shared" si="1"/>
        <v>1000</v>
      </c>
      <c r="H16" s="57">
        <v>1000</v>
      </c>
      <c r="I16" s="15"/>
      <c r="J16" s="15"/>
      <c r="K16" s="15"/>
      <c r="L16" s="15"/>
      <c r="M16" s="15"/>
      <c r="N16" s="15"/>
      <c r="O16" s="38" t="s">
        <v>119</v>
      </c>
      <c r="P16" s="39" t="s">
        <v>92</v>
      </c>
      <c r="Q16" s="39">
        <v>220</v>
      </c>
      <c r="R16" s="39" t="s">
        <v>20</v>
      </c>
      <c r="S16" s="39"/>
      <c r="T16" s="39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="5" customFormat="1" ht="22.5" customHeight="1" spans="1:62">
      <c r="A17" s="21" t="s">
        <v>120</v>
      </c>
      <c r="B17" s="15" t="s">
        <v>121</v>
      </c>
      <c r="C17" s="15" t="s">
        <v>118</v>
      </c>
      <c r="D17" s="15">
        <v>39</v>
      </c>
      <c r="E17" s="15">
        <v>17</v>
      </c>
      <c r="F17" s="15">
        <v>30</v>
      </c>
      <c r="G17" s="16">
        <f t="shared" si="1"/>
        <v>1170</v>
      </c>
      <c r="H17" s="61">
        <v>1000</v>
      </c>
      <c r="I17" s="15"/>
      <c r="J17" s="15"/>
      <c r="K17" s="15"/>
      <c r="L17" s="15"/>
      <c r="M17" s="15"/>
      <c r="N17" s="15"/>
      <c r="O17" s="38" t="s">
        <v>119</v>
      </c>
      <c r="P17" s="39" t="s">
        <v>92</v>
      </c>
      <c r="Q17" s="39">
        <v>452</v>
      </c>
      <c r="R17" s="39" t="s">
        <v>20</v>
      </c>
      <c r="S17" s="39"/>
      <c r="T17" s="39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="4" customFormat="1" ht="22.5" customHeight="1" spans="1:62">
      <c r="A18" s="21">
        <v>45</v>
      </c>
      <c r="B18" s="15" t="s">
        <v>25</v>
      </c>
      <c r="C18" s="15" t="s">
        <v>118</v>
      </c>
      <c r="D18" s="15">
        <v>15</v>
      </c>
      <c r="E18" s="15">
        <v>6</v>
      </c>
      <c r="F18" s="15">
        <v>30</v>
      </c>
      <c r="G18" s="16">
        <f t="shared" si="1"/>
        <v>450</v>
      </c>
      <c r="H18" s="57">
        <v>450</v>
      </c>
      <c r="J18" s="15"/>
      <c r="K18" s="15"/>
      <c r="L18" s="15"/>
      <c r="M18" s="15"/>
      <c r="N18" s="15"/>
      <c r="O18" s="38"/>
      <c r="P18" s="39" t="s">
        <v>122</v>
      </c>
      <c r="Q18" s="39">
        <v>42</v>
      </c>
      <c r="R18" s="39" t="s">
        <v>20</v>
      </c>
      <c r="S18" s="39"/>
      <c r="T18" s="39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="5" customFormat="1" ht="22.5" customHeight="1" spans="1:62">
      <c r="A19" s="21" t="s">
        <v>120</v>
      </c>
      <c r="B19" s="15" t="s">
        <v>76</v>
      </c>
      <c r="C19" s="15" t="s">
        <v>118</v>
      </c>
      <c r="D19" s="15">
        <v>15</v>
      </c>
      <c r="E19" s="15">
        <v>8</v>
      </c>
      <c r="F19" s="15">
        <v>30</v>
      </c>
      <c r="G19" s="16">
        <f t="shared" si="1"/>
        <v>450</v>
      </c>
      <c r="H19" s="57">
        <v>450</v>
      </c>
      <c r="I19" s="15"/>
      <c r="J19" s="15"/>
      <c r="K19" s="15"/>
      <c r="L19" s="15"/>
      <c r="M19" s="15"/>
      <c r="N19" s="15"/>
      <c r="O19" s="38"/>
      <c r="P19" s="39" t="s">
        <v>123</v>
      </c>
      <c r="Q19" s="58">
        <v>33</v>
      </c>
      <c r="R19" s="39" t="s">
        <v>20</v>
      </c>
      <c r="S19" s="62"/>
      <c r="T19" s="39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="5" customFormat="1" ht="22.5" customHeight="1" spans="1:62">
      <c r="A20" s="21" t="s">
        <v>120</v>
      </c>
      <c r="B20" s="15" t="s">
        <v>124</v>
      </c>
      <c r="C20" s="15" t="s">
        <v>125</v>
      </c>
      <c r="D20" s="15">
        <v>40</v>
      </c>
      <c r="E20" s="15">
        <v>3</v>
      </c>
      <c r="F20" s="15">
        <v>25</v>
      </c>
      <c r="G20" s="16">
        <f t="shared" si="1"/>
        <v>1000</v>
      </c>
      <c r="H20" s="57">
        <v>1000</v>
      </c>
      <c r="I20" s="15"/>
      <c r="J20" s="15"/>
      <c r="K20" s="15"/>
      <c r="L20" s="15"/>
      <c r="M20" s="15"/>
      <c r="N20" s="15"/>
      <c r="O20" s="38"/>
      <c r="P20" s="39" t="s">
        <v>126</v>
      </c>
      <c r="Q20" s="63">
        <v>40</v>
      </c>
      <c r="R20" s="39" t="s">
        <v>20</v>
      </c>
      <c r="S20" s="64"/>
      <c r="T20" s="39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="5" customFormat="1" ht="22.5" customHeight="1" spans="1:62">
      <c r="A21" s="21" t="s">
        <v>120</v>
      </c>
      <c r="B21" s="15" t="s">
        <v>127</v>
      </c>
      <c r="C21" s="15" t="s">
        <v>118</v>
      </c>
      <c r="D21" s="15">
        <v>22.91</v>
      </c>
      <c r="E21" s="15">
        <v>8</v>
      </c>
      <c r="F21" s="15">
        <v>30</v>
      </c>
      <c r="G21" s="16">
        <f t="shared" si="1"/>
        <v>687.3</v>
      </c>
      <c r="H21" s="57">
        <v>680</v>
      </c>
      <c r="I21" s="15"/>
      <c r="J21" s="15"/>
      <c r="K21" s="15"/>
      <c r="L21" s="15"/>
      <c r="M21" s="15" t="s">
        <v>128</v>
      </c>
      <c r="N21" s="15"/>
      <c r="O21" s="38"/>
      <c r="P21" s="39" t="s">
        <v>129</v>
      </c>
      <c r="Q21" s="63">
        <v>185</v>
      </c>
      <c r="R21" s="39" t="s">
        <v>20</v>
      </c>
      <c r="S21" s="64"/>
      <c r="T21" s="39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="5" customFormat="1" ht="22.5" customHeight="1" spans="1:62">
      <c r="A22" s="21" t="s">
        <v>120</v>
      </c>
      <c r="B22" s="15" t="s">
        <v>23</v>
      </c>
      <c r="C22" s="15" t="s">
        <v>118</v>
      </c>
      <c r="D22" s="15">
        <v>10</v>
      </c>
      <c r="E22" s="15">
        <v>1</v>
      </c>
      <c r="F22" s="15">
        <v>30</v>
      </c>
      <c r="G22" s="16">
        <f t="shared" si="1"/>
        <v>300</v>
      </c>
      <c r="H22" s="57">
        <v>300</v>
      </c>
      <c r="I22" s="15"/>
      <c r="J22" s="15"/>
      <c r="K22" s="15"/>
      <c r="L22" s="15"/>
      <c r="M22" s="15"/>
      <c r="N22" s="15"/>
      <c r="O22" s="38"/>
      <c r="P22" s="39" t="s">
        <v>130</v>
      </c>
      <c r="Q22" s="63">
        <v>24</v>
      </c>
      <c r="R22" s="63"/>
      <c r="S22" s="64"/>
      <c r="T22" s="39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="4" customFormat="1" ht="22.5" customHeight="1" spans="1:62">
      <c r="A23" s="21" t="s">
        <v>120</v>
      </c>
      <c r="B23" s="65" t="s">
        <v>131</v>
      </c>
      <c r="C23" s="15" t="s">
        <v>132</v>
      </c>
      <c r="D23" s="15">
        <v>32</v>
      </c>
      <c r="E23" s="15">
        <v>5</v>
      </c>
      <c r="F23" s="15">
        <v>25</v>
      </c>
      <c r="G23" s="16">
        <f t="shared" si="1"/>
        <v>800</v>
      </c>
      <c r="H23" s="19" t="s">
        <v>29</v>
      </c>
      <c r="I23" s="15"/>
      <c r="J23" s="15"/>
      <c r="K23" s="15"/>
      <c r="L23" s="15"/>
      <c r="M23" s="15"/>
      <c r="N23" s="15"/>
      <c r="O23" s="38">
        <v>3.9</v>
      </c>
      <c r="P23" s="39" t="s">
        <v>92</v>
      </c>
      <c r="Q23" s="39">
        <v>383</v>
      </c>
      <c r="R23" s="39"/>
      <c r="S23" s="39"/>
      <c r="T23" s="39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="5" customFormat="1" ht="22.5" customHeight="1" spans="1:62">
      <c r="A24" s="21" t="s">
        <v>133</v>
      </c>
      <c r="B24" s="15" t="s">
        <v>134</v>
      </c>
      <c r="C24" s="15" t="s">
        <v>118</v>
      </c>
      <c r="D24" s="15">
        <v>21</v>
      </c>
      <c r="E24" s="15">
        <v>1</v>
      </c>
      <c r="F24" s="15">
        <v>30</v>
      </c>
      <c r="G24" s="16">
        <f t="shared" si="1"/>
        <v>630</v>
      </c>
      <c r="H24" s="57">
        <v>630</v>
      </c>
      <c r="I24" s="15"/>
      <c r="J24" s="15"/>
      <c r="K24" s="15"/>
      <c r="L24" s="15"/>
      <c r="M24" s="15"/>
      <c r="N24" s="15"/>
      <c r="O24" s="38" t="s">
        <v>135</v>
      </c>
      <c r="P24" s="66" t="s">
        <v>92</v>
      </c>
      <c r="Q24" s="54">
        <v>173</v>
      </c>
      <c r="R24" s="39"/>
      <c r="S24" s="39"/>
      <c r="T24" s="39" t="s">
        <v>136</v>
      </c>
      <c r="U24" s="3">
        <v>4500</v>
      </c>
      <c r="V24" s="3"/>
      <c r="W24" s="3">
        <v>3900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="4" customFormat="1" ht="22.5" customHeight="1" spans="1:62">
      <c r="A25" s="21" t="s">
        <v>137</v>
      </c>
      <c r="B25" s="15" t="s">
        <v>138</v>
      </c>
      <c r="C25" s="15" t="s">
        <v>85</v>
      </c>
      <c r="D25" s="15">
        <v>17</v>
      </c>
      <c r="E25" s="15">
        <v>3</v>
      </c>
      <c r="F25" s="15">
        <v>25</v>
      </c>
      <c r="G25" s="16">
        <v>425</v>
      </c>
      <c r="H25" s="57">
        <v>425</v>
      </c>
      <c r="I25" s="15"/>
      <c r="J25" s="15"/>
      <c r="K25" s="15"/>
      <c r="L25" s="15"/>
      <c r="M25" s="15"/>
      <c r="N25" s="15"/>
      <c r="O25" s="38" t="s">
        <v>139</v>
      </c>
      <c r="P25" s="67" t="s">
        <v>140</v>
      </c>
      <c r="Q25" s="39">
        <v>150</v>
      </c>
      <c r="R25" s="39"/>
      <c r="S25" s="39"/>
      <c r="T25" s="39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="4" customFormat="1" ht="22.5" customHeight="1" spans="1:62">
      <c r="A26" s="27" t="s">
        <v>141</v>
      </c>
      <c r="B26" s="15" t="s">
        <v>80</v>
      </c>
      <c r="C26" s="15" t="s">
        <v>142</v>
      </c>
      <c r="D26" s="15">
        <v>40</v>
      </c>
      <c r="E26" s="15">
        <v>6</v>
      </c>
      <c r="F26" s="15">
        <v>25</v>
      </c>
      <c r="G26" s="16">
        <f>D26*F26</f>
        <v>1000</v>
      </c>
      <c r="H26" s="57">
        <v>1000</v>
      </c>
      <c r="I26" s="15"/>
      <c r="J26" s="15"/>
      <c r="K26" s="15"/>
      <c r="L26" s="15"/>
      <c r="M26" s="15"/>
      <c r="N26" s="15"/>
      <c r="O26" s="38" t="s">
        <v>143</v>
      </c>
      <c r="P26" s="39" t="s">
        <v>92</v>
      </c>
      <c r="Q26" s="39">
        <v>284</v>
      </c>
      <c r="R26" s="39"/>
      <c r="S26" s="39"/>
      <c r="T26" s="39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="5" customFormat="1" ht="22.5" customHeight="1" spans="1:62">
      <c r="A27" s="68" t="s">
        <v>144</v>
      </c>
      <c r="B27" s="69" t="s">
        <v>145</v>
      </c>
      <c r="C27" s="69" t="s">
        <v>146</v>
      </c>
      <c r="D27" s="15"/>
      <c r="E27" s="15"/>
      <c r="F27" s="15"/>
      <c r="G27" s="16">
        <f>D27*F27</f>
        <v>0</v>
      </c>
      <c r="H27" s="57"/>
      <c r="I27" s="15"/>
      <c r="J27" s="15"/>
      <c r="K27" s="15"/>
      <c r="L27" s="15"/>
      <c r="M27" s="15"/>
      <c r="N27" s="15"/>
      <c r="O27" s="38"/>
      <c r="P27" s="39"/>
      <c r="Q27" s="39"/>
      <c r="R27" s="39"/>
      <c r="S27" s="39">
        <v>17260</v>
      </c>
      <c r="T27" s="39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="5" customFormat="1" ht="22.5" customHeight="1" spans="1:62">
      <c r="A28" s="68">
        <v>2.4</v>
      </c>
      <c r="B28" s="69" t="s">
        <v>147</v>
      </c>
      <c r="C28" s="69" t="s">
        <v>148</v>
      </c>
      <c r="D28" s="15">
        <v>30</v>
      </c>
      <c r="E28" s="15">
        <v>6</v>
      </c>
      <c r="F28" s="15">
        <v>30</v>
      </c>
      <c r="G28" s="16">
        <v>900</v>
      </c>
      <c r="H28" s="57">
        <v>900</v>
      </c>
      <c r="I28" s="15"/>
      <c r="J28" s="15"/>
      <c r="K28" s="15"/>
      <c r="L28" s="15"/>
      <c r="M28" s="15"/>
      <c r="N28" s="15"/>
      <c r="O28" s="38"/>
      <c r="P28" s="39"/>
      <c r="Q28" s="39"/>
      <c r="R28" s="39"/>
      <c r="S28" s="39"/>
      <c r="T28" s="39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="5" customFormat="1" ht="22.5" customHeight="1" spans="1:62">
      <c r="A29" s="68">
        <v>2.4</v>
      </c>
      <c r="B29" s="69" t="s">
        <v>149</v>
      </c>
      <c r="C29" s="69" t="s">
        <v>150</v>
      </c>
      <c r="D29" s="15">
        <v>20</v>
      </c>
      <c r="E29" s="15">
        <v>2</v>
      </c>
      <c r="F29" s="15">
        <v>30</v>
      </c>
      <c r="G29" s="16">
        <v>600</v>
      </c>
      <c r="H29" s="57">
        <v>600</v>
      </c>
      <c r="I29" s="15"/>
      <c r="J29" s="15"/>
      <c r="K29" s="15"/>
      <c r="L29" s="15"/>
      <c r="M29" s="15"/>
      <c r="N29" s="15"/>
      <c r="O29" s="38"/>
      <c r="P29" s="39"/>
      <c r="Q29" s="39"/>
      <c r="R29" s="39"/>
      <c r="S29" s="39"/>
      <c r="T29" s="39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="5" customFormat="1" ht="22.5" customHeight="1" spans="1:62">
      <c r="A30" s="68">
        <v>2.4</v>
      </c>
      <c r="B30" s="69" t="s">
        <v>131</v>
      </c>
      <c r="C30" s="69" t="s">
        <v>111</v>
      </c>
      <c r="D30" s="15">
        <v>30</v>
      </c>
      <c r="E30" s="15">
        <v>7</v>
      </c>
      <c r="F30" s="15">
        <v>30</v>
      </c>
      <c r="G30" s="16">
        <v>960</v>
      </c>
      <c r="H30" s="57">
        <v>960</v>
      </c>
      <c r="I30" s="15"/>
      <c r="J30" s="15"/>
      <c r="K30" s="15"/>
      <c r="L30" s="15"/>
      <c r="M30" s="15"/>
      <c r="N30" s="15"/>
      <c r="O30" s="38"/>
      <c r="P30" s="39"/>
      <c r="Q30" s="39"/>
      <c r="R30" s="39"/>
      <c r="S30" s="39"/>
      <c r="T30" s="39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="5" customFormat="1" ht="22.5" customHeight="1" spans="1:62">
      <c r="A31" s="27" t="s">
        <v>141</v>
      </c>
      <c r="B31" s="15" t="s">
        <v>151</v>
      </c>
      <c r="C31" s="15"/>
      <c r="D31" s="15">
        <v>100</v>
      </c>
      <c r="E31" s="15"/>
      <c r="F31" s="15">
        <v>20</v>
      </c>
      <c r="G31" s="16">
        <f t="shared" ref="G31:G37" si="2">D31*F31</f>
        <v>2000</v>
      </c>
      <c r="H31" s="19"/>
      <c r="I31" s="15"/>
      <c r="J31" s="15"/>
      <c r="K31" s="15"/>
      <c r="L31" s="15"/>
      <c r="M31" s="15"/>
      <c r="N31" s="15"/>
      <c r="O31" s="38">
        <v>3.17</v>
      </c>
      <c r="P31" s="39" t="s">
        <v>152</v>
      </c>
      <c r="Q31" s="39">
        <v>180</v>
      </c>
      <c r="R31" s="39"/>
      <c r="S31" s="39"/>
      <c r="T31" s="39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="4" customFormat="1" ht="22.5" customHeight="1" spans="1:62">
      <c r="A32" s="27" t="s">
        <v>141</v>
      </c>
      <c r="B32" s="15" t="s">
        <v>153</v>
      </c>
      <c r="C32" s="15"/>
      <c r="D32" s="15">
        <v>44</v>
      </c>
      <c r="E32" s="15"/>
      <c r="F32" s="15">
        <v>20</v>
      </c>
      <c r="G32" s="16">
        <v>880</v>
      </c>
      <c r="H32" s="57">
        <v>880</v>
      </c>
      <c r="I32" s="15"/>
      <c r="J32" s="15"/>
      <c r="K32" s="15"/>
      <c r="L32" s="15"/>
      <c r="M32" s="15"/>
      <c r="N32" s="15"/>
      <c r="O32" s="38">
        <v>3.16</v>
      </c>
      <c r="P32" s="39" t="s">
        <v>92</v>
      </c>
      <c r="Q32" s="39">
        <v>290</v>
      </c>
      <c r="R32" s="39"/>
      <c r="S32" s="39"/>
      <c r="T32" s="39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s="5" customFormat="1" ht="22.5" customHeight="1" spans="1:62">
      <c r="A33" s="27" t="s">
        <v>141</v>
      </c>
      <c r="B33" s="15" t="s">
        <v>154</v>
      </c>
      <c r="C33" s="15" t="s">
        <v>85</v>
      </c>
      <c r="D33" s="15">
        <v>38</v>
      </c>
      <c r="E33" s="15"/>
      <c r="F33" s="15">
        <v>25</v>
      </c>
      <c r="G33" s="16">
        <f t="shared" si="2"/>
        <v>950</v>
      </c>
      <c r="H33" s="57">
        <v>950</v>
      </c>
      <c r="I33" s="15"/>
      <c r="J33" s="15"/>
      <c r="K33" s="15"/>
      <c r="L33" s="15"/>
      <c r="M33" s="15"/>
      <c r="N33" s="15"/>
      <c r="O33" s="38">
        <v>3.19</v>
      </c>
      <c r="P33" s="39" t="s">
        <v>92</v>
      </c>
      <c r="Q33" s="39">
        <v>665</v>
      </c>
      <c r="R33" s="39"/>
      <c r="S33" s="39"/>
      <c r="T33" s="39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</row>
    <row r="34" s="4" customFormat="1" ht="22.5" customHeight="1" spans="1:62">
      <c r="A34" s="27" t="s">
        <v>141</v>
      </c>
      <c r="B34" s="15" t="s">
        <v>84</v>
      </c>
      <c r="C34" s="15" t="s">
        <v>85</v>
      </c>
      <c r="D34" s="15">
        <v>31</v>
      </c>
      <c r="E34" s="15"/>
      <c r="F34" s="15">
        <v>25</v>
      </c>
      <c r="G34" s="16">
        <f t="shared" si="2"/>
        <v>775</v>
      </c>
      <c r="H34" s="57">
        <v>775</v>
      </c>
      <c r="I34" s="15"/>
      <c r="J34" s="15"/>
      <c r="K34" s="15"/>
      <c r="L34" s="15"/>
      <c r="M34" s="15"/>
      <c r="N34" s="15"/>
      <c r="O34" s="38">
        <v>3.19</v>
      </c>
      <c r="P34" s="39" t="s">
        <v>155</v>
      </c>
      <c r="Q34" s="39">
        <v>30</v>
      </c>
      <c r="R34" s="39"/>
      <c r="S34" s="39"/>
      <c r="T34" s="39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</row>
    <row r="35" s="5" customFormat="1" ht="22.5" customHeight="1" spans="1:62">
      <c r="A35" s="27" t="s">
        <v>141</v>
      </c>
      <c r="B35" s="15" t="s">
        <v>91</v>
      </c>
      <c r="C35" s="15" t="s">
        <v>85</v>
      </c>
      <c r="D35" s="15">
        <v>17</v>
      </c>
      <c r="E35" s="15"/>
      <c r="F35" s="15">
        <v>25</v>
      </c>
      <c r="G35" s="16">
        <f t="shared" si="2"/>
        <v>425</v>
      </c>
      <c r="H35" s="57">
        <v>425</v>
      </c>
      <c r="I35" s="15"/>
      <c r="J35" s="15"/>
      <c r="K35" s="15"/>
      <c r="L35" s="15"/>
      <c r="M35" s="15"/>
      <c r="N35" s="15"/>
      <c r="O35" s="38">
        <v>3.19</v>
      </c>
      <c r="P35" s="39" t="s">
        <v>156</v>
      </c>
      <c r="Q35" s="39">
        <v>29</v>
      </c>
      <c r="R35" s="39"/>
      <c r="S35" s="39"/>
      <c r="T35" s="39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</row>
    <row r="36" s="4" customFormat="1" ht="22.5" customHeight="1" spans="1:62">
      <c r="A36" s="21">
        <v>3.19</v>
      </c>
      <c r="B36" s="15" t="s">
        <v>103</v>
      </c>
      <c r="C36" s="15" t="s">
        <v>98</v>
      </c>
      <c r="D36" s="15">
        <v>19</v>
      </c>
      <c r="E36" s="15">
        <v>5</v>
      </c>
      <c r="F36" s="15">
        <v>25</v>
      </c>
      <c r="G36" s="16">
        <v>480</v>
      </c>
      <c r="H36" s="57">
        <v>480</v>
      </c>
      <c r="I36" s="15"/>
      <c r="J36" s="15"/>
      <c r="K36" s="15" t="s">
        <v>20</v>
      </c>
      <c r="L36" s="15"/>
      <c r="M36" s="15"/>
      <c r="N36" s="15"/>
      <c r="O36" s="38">
        <v>3.31</v>
      </c>
      <c r="P36" s="39" t="s">
        <v>92</v>
      </c>
      <c r="Q36" s="39">
        <v>511</v>
      </c>
      <c r="R36" s="39"/>
      <c r="S36" s="39"/>
      <c r="T36" s="39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</row>
    <row r="37" s="5" customFormat="1" ht="22.5" customHeight="1" spans="1:62">
      <c r="A37" s="21">
        <v>3.19</v>
      </c>
      <c r="B37" s="15" t="s">
        <v>97</v>
      </c>
      <c r="C37" s="15" t="s">
        <v>98</v>
      </c>
      <c r="D37" s="15">
        <v>20</v>
      </c>
      <c r="E37" s="15">
        <v>5</v>
      </c>
      <c r="F37" s="15">
        <v>25</v>
      </c>
      <c r="G37" s="16">
        <f t="shared" si="2"/>
        <v>500</v>
      </c>
      <c r="H37" s="57">
        <v>500</v>
      </c>
      <c r="I37" s="15"/>
      <c r="J37" s="15"/>
      <c r="K37" s="15" t="s">
        <v>20</v>
      </c>
      <c r="L37" s="15"/>
      <c r="M37" s="15"/>
      <c r="N37" s="15"/>
      <c r="O37" s="38"/>
      <c r="P37" s="39" t="s">
        <v>157</v>
      </c>
      <c r="Q37" s="39">
        <v>30</v>
      </c>
      <c r="R37" s="39"/>
      <c r="S37" s="39"/>
      <c r="T37" s="39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</row>
    <row r="38" customFormat="1" ht="22.5" customHeight="1" spans="1:62">
      <c r="A38" s="21">
        <v>3.3</v>
      </c>
      <c r="B38" s="15" t="s">
        <v>27</v>
      </c>
      <c r="C38" s="15" t="s">
        <v>28</v>
      </c>
      <c r="D38" s="15">
        <v>80</v>
      </c>
      <c r="E38" s="15">
        <v>25</v>
      </c>
      <c r="F38" s="15">
        <v>25</v>
      </c>
      <c r="G38" s="16">
        <v>2000</v>
      </c>
      <c r="H38" s="57">
        <v>2000</v>
      </c>
      <c r="I38" s="15"/>
      <c r="J38" s="15"/>
      <c r="K38" s="15"/>
      <c r="L38" s="15"/>
      <c r="M38" s="15"/>
      <c r="N38" s="15"/>
      <c r="O38" s="56"/>
      <c r="P38" s="56" t="s">
        <v>158</v>
      </c>
      <c r="Q38" s="56">
        <v>156</v>
      </c>
      <c r="R38" s="56"/>
      <c r="S38" s="56"/>
      <c r="T38" s="56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</row>
    <row r="39" customFormat="1" ht="22.5" customHeight="1" spans="1:62">
      <c r="A39" s="21"/>
      <c r="B39" s="15"/>
      <c r="C39" s="15" t="s">
        <v>159</v>
      </c>
      <c r="D39" s="15">
        <v>10</v>
      </c>
      <c r="E39" s="15"/>
      <c r="F39" s="15"/>
      <c r="G39" s="16">
        <v>700</v>
      </c>
      <c r="H39" s="57">
        <v>700</v>
      </c>
      <c r="I39" s="15"/>
      <c r="J39" s="15"/>
      <c r="K39" s="15" t="s">
        <v>20</v>
      </c>
      <c r="L39" s="15"/>
      <c r="M39" s="15"/>
      <c r="N39" s="15"/>
      <c r="O39" s="56"/>
      <c r="P39" s="56"/>
      <c r="Q39" s="56"/>
      <c r="R39" s="56"/>
      <c r="S39" s="56"/>
      <c r="T39" s="56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</row>
    <row r="40" customFormat="1" ht="22.5" customHeight="1" spans="1:62">
      <c r="A40" s="21"/>
      <c r="B40" s="15"/>
      <c r="C40" s="15"/>
      <c r="D40" s="15">
        <f>SUM(D3:D37)</f>
        <v>1124.75</v>
      </c>
      <c r="E40" s="15">
        <f>SUM(E3:E37)</f>
        <v>140</v>
      </c>
      <c r="F40" s="15"/>
      <c r="G40" s="16">
        <v>30328</v>
      </c>
      <c r="H40" s="57"/>
      <c r="I40" s="15"/>
      <c r="J40" s="15"/>
      <c r="K40" s="15"/>
      <c r="L40" s="15"/>
      <c r="M40" s="15"/>
      <c r="N40" s="15"/>
      <c r="O40" s="56"/>
      <c r="P40" s="56"/>
      <c r="Q40" s="56"/>
      <c r="R40" s="56"/>
      <c r="S40" s="56"/>
      <c r="T40" s="56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</row>
    <row r="41" spans="1:62">
      <c r="A41" s="29"/>
      <c r="B41" s="30"/>
      <c r="C41" s="30"/>
      <c r="D41" s="30"/>
      <c r="E41" s="30"/>
      <c r="F41" s="30"/>
      <c r="G41" s="31"/>
      <c r="H41" s="30"/>
      <c r="I41" s="30"/>
      <c r="J41" s="30"/>
      <c r="K41" s="30"/>
      <c r="L41" s="30"/>
      <c r="M41" s="30"/>
      <c r="N41" s="30"/>
    </row>
    <row r="42" spans="1:62">
      <c r="G42" s="32"/>
    </row>
    <row r="43" spans="1:62">
      <c r="G43" s="32"/>
    </row>
    <row r="44" spans="1:62">
      <c r="G44" s="32"/>
    </row>
    <row r="45" spans="1:62">
      <c r="G45" s="32"/>
    </row>
    <row r="46" spans="1:62">
      <c r="G46" s="32"/>
    </row>
    <row r="47" spans="1:62">
      <c r="G47" s="32"/>
    </row>
    <row r="48" spans="1:62">
      <c r="G48" s="32"/>
    </row>
    <row r="49" spans="7:7">
      <c r="G49" s="32"/>
    </row>
    <row r="50" spans="7:7">
      <c r="G50" s="32"/>
    </row>
    <row r="51" spans="7:7">
      <c r="G51" s="32"/>
    </row>
    <row r="52" spans="7:7">
      <c r="G52" s="32"/>
    </row>
    <row r="53" spans="7:7">
      <c r="G53" s="32"/>
    </row>
    <row r="54" spans="7:7">
      <c r="G54" s="32"/>
    </row>
    <row r="55" spans="7:7">
      <c r="G55" s="32"/>
    </row>
    <row r="56" spans="7:7">
      <c r="G56" s="32"/>
    </row>
    <row r="57" spans="7:7">
      <c r="G57" s="32"/>
    </row>
    <row r="58" spans="7:7">
      <c r="G58" s="32"/>
    </row>
    <row r="59" spans="7:7">
      <c r="G59" s="32"/>
    </row>
    <row r="60" spans="7:7">
      <c r="G60" s="32"/>
    </row>
    <row r="61" spans="7:7">
      <c r="G61" s="32"/>
    </row>
    <row r="62" spans="7:7">
      <c r="G62" s="32"/>
    </row>
    <row r="63" spans="7:7">
      <c r="G63" s="32"/>
    </row>
    <row r="64" spans="7:7">
      <c r="G64" s="32"/>
    </row>
    <row r="65" spans="7:7">
      <c r="G65" s="32"/>
    </row>
    <row r="66" spans="7:7">
      <c r="G66" s="32"/>
    </row>
    <row r="67" spans="7:7">
      <c r="G67" s="32"/>
    </row>
    <row r="68" spans="7:7">
      <c r="G68" s="32"/>
    </row>
    <row r="69" spans="7:7">
      <c r="G69" s="32"/>
    </row>
    <row r="70" spans="7:7">
      <c r="G70" s="32"/>
    </row>
    <row r="71" spans="7:7">
      <c r="G71" s="32"/>
    </row>
    <row r="72" spans="7:7">
      <c r="G72" s="32"/>
    </row>
    <row r="73" spans="7:7">
      <c r="G73" s="32"/>
    </row>
    <row r="74" spans="7:7">
      <c r="G74" s="32"/>
    </row>
    <row r="75" spans="7:7">
      <c r="G75" s="32"/>
    </row>
    <row r="76" spans="7:7">
      <c r="G76" s="32"/>
    </row>
    <row r="77" spans="7:7">
      <c r="G77" s="32"/>
    </row>
    <row r="78" spans="7:7">
      <c r="G78" s="32"/>
    </row>
    <row r="79" spans="7:7">
      <c r="G79" s="32"/>
    </row>
    <row r="80" spans="7:7">
      <c r="G80" s="32"/>
    </row>
    <row r="81" spans="7:7">
      <c r="G81" s="32"/>
    </row>
    <row r="82" spans="7:7">
      <c r="G82" s="32"/>
    </row>
    <row r="83" spans="7:7">
      <c r="G83" s="32"/>
    </row>
    <row r="84" spans="7:7">
      <c r="G84" s="32"/>
    </row>
    <row r="85" spans="7:7">
      <c r="G85" s="32"/>
    </row>
    <row r="86" spans="7:7">
      <c r="G86" s="32"/>
    </row>
    <row r="87" spans="7:7">
      <c r="G87" s="32"/>
    </row>
    <row r="88" spans="7:7">
      <c r="G88" s="32"/>
    </row>
    <row r="89" spans="7:7">
      <c r="G89" s="32"/>
    </row>
    <row r="90" spans="7:7">
      <c r="G90" s="32"/>
    </row>
    <row r="91" spans="7:7">
      <c r="G91" s="32"/>
    </row>
    <row r="92" spans="7:7">
      <c r="G92" s="32"/>
    </row>
    <row r="93" spans="7:7">
      <c r="G93" s="32"/>
    </row>
    <row r="94" spans="7:7">
      <c r="G94" s="32"/>
    </row>
    <row r="95" spans="7:7">
      <c r="G95" s="32"/>
    </row>
    <row r="96" spans="7:7">
      <c r="G96" s="32"/>
    </row>
    <row r="97" spans="7:7">
      <c r="G97" s="32"/>
    </row>
    <row r="98" spans="7:7">
      <c r="G98" s="32"/>
    </row>
    <row r="99" spans="7:7">
      <c r="G99" s="32"/>
    </row>
    <row r="100" spans="7:7">
      <c r="G100" s="32"/>
    </row>
    <row r="101" spans="7:7">
      <c r="G101" s="32"/>
    </row>
    <row r="102" spans="7:7">
      <c r="G102" s="32"/>
    </row>
    <row r="103" spans="7:7">
      <c r="G103" s="32"/>
    </row>
    <row r="104" spans="7:7">
      <c r="G104" s="32"/>
    </row>
    <row r="105" spans="7:7">
      <c r="G105" s="32"/>
    </row>
    <row r="106" spans="7:7">
      <c r="G106" s="32"/>
    </row>
    <row r="107" spans="7:7">
      <c r="G107" s="32"/>
    </row>
    <row r="108" spans="7:7">
      <c r="G108" s="32"/>
    </row>
    <row r="109" spans="7:7">
      <c r="G109" s="32"/>
    </row>
    <row r="110" spans="7:7">
      <c r="G110" s="32"/>
    </row>
    <row r="111" spans="7:7">
      <c r="G111" s="32"/>
    </row>
    <row r="112" spans="7:7">
      <c r="G112" s="32"/>
    </row>
    <row r="113" spans="7:7">
      <c r="G113" s="32"/>
    </row>
    <row r="114" spans="7:7">
      <c r="G114" s="32"/>
    </row>
    <row r="115" spans="7:7">
      <c r="G115" s="32"/>
    </row>
    <row r="116" spans="7:7">
      <c r="G116" s="32"/>
    </row>
    <row r="117" spans="7:7">
      <c r="G117" s="32"/>
    </row>
    <row r="118" spans="7:7">
      <c r="G118" s="32"/>
    </row>
    <row r="119" spans="7:7">
      <c r="G119" s="32"/>
    </row>
    <row r="120" spans="7:7">
      <c r="G120" s="32"/>
    </row>
  </sheetData>
  <mergeCells count="1">
    <mergeCell ref="A1:N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13"/>
  <sheetViews>
    <sheetView workbookViewId="0">
      <selection activeCell="K14" sqref="K14"/>
    </sheetView>
  </sheetViews>
  <sheetFormatPr defaultColWidth="8.725" defaultRowHeight="13.5"/>
  <cols>
    <col min="1" max="1" width="13.375" style="6" customWidth="1"/>
    <col min="2" max="2" width="10.4666666666667" style="7" customWidth="1"/>
    <col min="3" max="3" width="16.2833333333333" style="7" customWidth="1"/>
    <col min="4" max="5" width="13.0083333333333" style="7" customWidth="1"/>
    <col min="6" max="6" width="13.9166666666667" style="7" customWidth="1"/>
    <col min="7" max="7" width="13.0083333333333" style="8" customWidth="1"/>
    <col min="8" max="10" width="13.0083333333333" style="7" customWidth="1"/>
    <col min="11" max="11" width="11.0083333333333" style="7" customWidth="1"/>
    <col min="12" max="12" width="10.4666666666667" style="7" customWidth="1"/>
    <col min="13" max="13" width="13.0083333333333" style="7" customWidth="1"/>
    <col min="14" max="14" width="15.9166666666667" style="7" customWidth="1"/>
  </cols>
  <sheetData>
    <row r="1" s="1" customFormat="1" ht="28.5" customHeight="1" spans="1:6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="2" customFormat="1" ht="22.5" customHeight="1" spans="1:62">
      <c r="A2" s="10" t="s">
        <v>1</v>
      </c>
      <c r="B2" s="11" t="s">
        <v>2</v>
      </c>
      <c r="C2" s="11" t="s">
        <v>3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2"/>
      <c r="R2" s="13"/>
    </row>
    <row r="3" s="3" customFormat="1" ht="22.5" customHeight="1" spans="1:62">
      <c r="A3" s="14"/>
      <c r="B3" s="15"/>
      <c r="C3" s="15"/>
      <c r="D3" s="15"/>
      <c r="E3" s="15"/>
      <c r="F3" s="15"/>
      <c r="G3" s="16">
        <f>SUM(D3*F3)</f>
        <v>0</v>
      </c>
      <c r="H3" s="17"/>
      <c r="I3" s="15"/>
      <c r="J3" s="15"/>
      <c r="K3" s="15"/>
      <c r="L3" s="15"/>
      <c r="M3" s="15"/>
      <c r="N3" s="15"/>
      <c r="O3" s="18"/>
    </row>
    <row r="4" s="4" customFormat="1" ht="22.5" customHeight="1" spans="1:62">
      <c r="A4" s="14"/>
      <c r="B4" s="15"/>
      <c r="C4" s="15"/>
      <c r="D4" s="15"/>
      <c r="E4" s="15"/>
      <c r="F4" s="15"/>
      <c r="G4" s="16">
        <f t="shared" ref="G3:G32" si="0">SUM(D4*F4)</f>
        <v>0</v>
      </c>
      <c r="H4" s="17"/>
      <c r="I4" s="15"/>
      <c r="J4" s="15"/>
      <c r="K4" s="15"/>
      <c r="L4" s="15"/>
      <c r="M4" s="15"/>
      <c r="N4" s="15"/>
      <c r="O4" s="1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="5" customFormat="1" ht="22.5" customHeight="1" spans="1:62">
      <c r="A5" s="14"/>
      <c r="B5" s="15"/>
      <c r="C5" s="15"/>
      <c r="D5" s="15"/>
      <c r="E5" s="15"/>
      <c r="F5" s="15"/>
      <c r="G5" s="16">
        <f t="shared" si="0"/>
        <v>0</v>
      </c>
      <c r="H5" s="17"/>
      <c r="I5" s="15"/>
      <c r="J5" s="15"/>
      <c r="K5" s="15"/>
      <c r="L5" s="15"/>
      <c r="M5" s="15"/>
      <c r="N5" s="15"/>
      <c r="O5" s="1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="4" customFormat="1" ht="22.5" customHeight="1" spans="1:62">
      <c r="A6" s="14"/>
      <c r="B6" s="15"/>
      <c r="C6" s="15"/>
      <c r="D6" s="15"/>
      <c r="E6" s="15"/>
      <c r="F6" s="15"/>
      <c r="G6" s="16">
        <f t="shared" si="0"/>
        <v>0</v>
      </c>
      <c r="H6" s="17"/>
      <c r="I6" s="15"/>
      <c r="J6" s="15"/>
      <c r="K6" s="15"/>
      <c r="L6" s="15"/>
      <c r="M6" s="15"/>
      <c r="N6" s="15"/>
      <c r="O6" s="18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="5" customFormat="1" ht="22.5" customHeight="1" spans="1:62">
      <c r="A7" s="14"/>
      <c r="B7" s="15"/>
      <c r="C7" s="15"/>
      <c r="D7" s="15"/>
      <c r="E7" s="15"/>
      <c r="F7" s="15"/>
      <c r="G7" s="16">
        <f t="shared" si="0"/>
        <v>0</v>
      </c>
      <c r="H7" s="17"/>
      <c r="I7" s="15"/>
      <c r="J7" s="15"/>
      <c r="K7" s="15"/>
      <c r="L7" s="15"/>
      <c r="M7" s="15"/>
      <c r="N7" s="15"/>
      <c r="O7" s="18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="5" customFormat="1" ht="22.5" customHeight="1" spans="1:62">
      <c r="A8" s="14"/>
      <c r="B8" s="15"/>
      <c r="C8" s="15"/>
      <c r="D8" s="15"/>
      <c r="E8" s="15"/>
      <c r="F8" s="15"/>
      <c r="G8" s="16">
        <f t="shared" si="0"/>
        <v>0</v>
      </c>
      <c r="H8" s="17"/>
      <c r="I8" s="15"/>
      <c r="J8" s="15"/>
      <c r="K8" s="19"/>
      <c r="L8" s="15"/>
      <c r="M8" s="15"/>
      <c r="N8" s="15"/>
      <c r="O8" s="1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="4" customFormat="1" ht="22.5" customHeight="1" spans="1:62">
      <c r="A9" s="14"/>
      <c r="B9" s="15"/>
      <c r="C9" s="15"/>
      <c r="D9" s="15"/>
      <c r="E9" s="15"/>
      <c r="F9" s="15"/>
      <c r="G9" s="16">
        <f t="shared" si="0"/>
        <v>0</v>
      </c>
      <c r="H9" s="17"/>
      <c r="I9" s="15"/>
      <c r="J9" s="15"/>
      <c r="K9" s="15"/>
      <c r="L9" s="15"/>
      <c r="M9" s="15"/>
      <c r="N9" s="15"/>
      <c r="O9" s="18"/>
      <c r="P9" s="3"/>
      <c r="Q9" s="20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="5" customFormat="1" ht="22.5" customHeight="1" spans="1:62">
      <c r="A10" s="21"/>
      <c r="B10" s="15"/>
      <c r="C10" s="15"/>
      <c r="D10" s="15"/>
      <c r="E10" s="15"/>
      <c r="F10" s="15"/>
      <c r="G10" s="16">
        <f t="shared" si="0"/>
        <v>0</v>
      </c>
      <c r="H10" s="17"/>
      <c r="I10" s="15"/>
      <c r="J10" s="15"/>
      <c r="K10" s="15"/>
      <c r="L10" s="15"/>
      <c r="M10" s="15"/>
      <c r="N10" s="15"/>
      <c r="O10" s="18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="4" customFormat="1" ht="22.5" customHeight="1" spans="1:62">
      <c r="A11" s="21"/>
      <c r="B11" s="15"/>
      <c r="C11" s="15"/>
      <c r="D11" s="15"/>
      <c r="E11" s="15"/>
      <c r="F11" s="15"/>
      <c r="G11" s="16">
        <f t="shared" si="0"/>
        <v>0</v>
      </c>
      <c r="H11" s="17"/>
      <c r="I11" s="15"/>
      <c r="J11" s="15"/>
      <c r="K11" s="15"/>
      <c r="L11" s="15"/>
      <c r="M11" s="15"/>
      <c r="N11" s="15"/>
      <c r="O11" s="18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="4" customFormat="1" ht="22.5" customHeight="1" spans="1:62">
      <c r="A12" s="21"/>
      <c r="B12" s="15"/>
      <c r="C12" s="15"/>
      <c r="D12" s="15"/>
      <c r="E12" s="15"/>
      <c r="F12" s="15"/>
      <c r="G12" s="16">
        <f t="shared" si="0"/>
        <v>0</v>
      </c>
      <c r="H12" s="17"/>
      <c r="I12" s="15"/>
      <c r="J12" s="15"/>
      <c r="K12" s="19"/>
      <c r="L12" s="15"/>
      <c r="M12" s="15"/>
      <c r="N12" s="15"/>
      <c r="O12" s="18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="4" customFormat="1" ht="22.5" customHeight="1" spans="1:62">
      <c r="A13" s="21"/>
      <c r="B13" s="15"/>
      <c r="C13" s="15"/>
      <c r="D13" s="15"/>
      <c r="E13" s="15"/>
      <c r="F13" s="15"/>
      <c r="G13" s="16">
        <f t="shared" si="0"/>
        <v>0</v>
      </c>
      <c r="H13" s="17"/>
      <c r="I13" s="15"/>
      <c r="J13" s="15"/>
      <c r="K13" s="19"/>
      <c r="L13" s="15"/>
      <c r="M13" s="15"/>
      <c r="N13" s="15"/>
      <c r="O13" s="1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="4" customFormat="1" ht="22.5" customHeight="1" spans="1:62">
      <c r="A14" s="21"/>
      <c r="B14" s="15"/>
      <c r="C14" s="15"/>
      <c r="D14" s="15"/>
      <c r="E14" s="15"/>
      <c r="F14" s="15"/>
      <c r="G14" s="16">
        <f t="shared" si="0"/>
        <v>0</v>
      </c>
      <c r="H14" s="17"/>
      <c r="I14" s="15"/>
      <c r="J14" s="15"/>
      <c r="K14" s="15"/>
      <c r="L14" s="15"/>
      <c r="M14" s="15"/>
      <c r="N14" s="15"/>
      <c r="O14" s="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="5" customFormat="1" ht="22.5" customHeight="1" spans="1:62">
      <c r="A15" s="21"/>
      <c r="B15" s="15"/>
      <c r="C15" s="15"/>
      <c r="D15" s="15"/>
      <c r="E15" s="15"/>
      <c r="F15" s="15"/>
      <c r="G15" s="16">
        <f t="shared" si="0"/>
        <v>0</v>
      </c>
      <c r="H15" s="17"/>
      <c r="I15" s="15"/>
      <c r="J15" s="15"/>
      <c r="K15" s="15"/>
      <c r="L15" s="15"/>
      <c r="M15" s="15"/>
      <c r="N15" s="15"/>
      <c r="O15" s="18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="4" customFormat="1" ht="22.5" customHeight="1" spans="1:62">
      <c r="A16" s="21"/>
      <c r="B16" s="15"/>
      <c r="C16" s="15"/>
      <c r="D16" s="15"/>
      <c r="E16" s="15"/>
      <c r="F16" s="15"/>
      <c r="G16" s="16">
        <f t="shared" si="0"/>
        <v>0</v>
      </c>
      <c r="H16" s="17"/>
      <c r="I16" s="15"/>
      <c r="J16" s="15"/>
      <c r="K16" s="15"/>
      <c r="L16" s="15"/>
      <c r="M16" s="15"/>
      <c r="N16" s="15"/>
      <c r="O16" s="18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="5" customFormat="1" ht="22.5" customHeight="1" spans="1:62">
      <c r="A17" s="21"/>
      <c r="B17" s="15"/>
      <c r="C17" s="15"/>
      <c r="D17" s="15"/>
      <c r="E17" s="15"/>
      <c r="F17" s="15"/>
      <c r="G17" s="16">
        <f t="shared" si="0"/>
        <v>0</v>
      </c>
      <c r="H17" s="17"/>
      <c r="I17" s="15"/>
      <c r="J17" s="15"/>
      <c r="K17" s="15"/>
      <c r="L17" s="15"/>
      <c r="M17" s="15"/>
      <c r="N17" s="15"/>
      <c r="O17" s="18"/>
      <c r="P17" s="3"/>
      <c r="Q17" s="20"/>
      <c r="R17" s="3"/>
      <c r="S17" s="2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="5" customFormat="1" ht="22.5" customHeight="1" spans="1:62">
      <c r="A18" s="21"/>
      <c r="B18" s="15"/>
      <c r="C18" s="15"/>
      <c r="D18" s="15"/>
      <c r="E18" s="15"/>
      <c r="F18" s="15"/>
      <c r="G18" s="16">
        <f t="shared" si="0"/>
        <v>0</v>
      </c>
      <c r="H18" s="17"/>
      <c r="I18" s="15"/>
      <c r="J18" s="15"/>
      <c r="K18" s="15"/>
      <c r="L18" s="15"/>
      <c r="M18" s="15"/>
      <c r="N18" s="15"/>
      <c r="O18" s="18"/>
      <c r="P18" s="3"/>
      <c r="Q18" s="23"/>
      <c r="R18" s="3"/>
      <c r="S18" s="2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="5" customFormat="1" ht="22.5" customHeight="1" spans="1:62">
      <c r="A19" s="21"/>
      <c r="B19" s="15"/>
      <c r="C19" s="15"/>
      <c r="D19" s="15"/>
      <c r="E19" s="15"/>
      <c r="F19" s="15"/>
      <c r="G19" s="16">
        <f t="shared" si="0"/>
        <v>0</v>
      </c>
      <c r="H19" s="17"/>
      <c r="I19" s="15"/>
      <c r="J19" s="15"/>
      <c r="K19" s="15"/>
      <c r="L19" s="15"/>
      <c r="M19" s="15"/>
      <c r="N19" s="15"/>
      <c r="O19" s="18"/>
      <c r="P19" s="3"/>
      <c r="Q19" s="23"/>
      <c r="R19" s="3"/>
      <c r="S19" s="2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="5" customFormat="1" ht="22.5" customHeight="1" spans="1:62">
      <c r="A20" s="21"/>
      <c r="B20" s="15"/>
      <c r="C20" s="15"/>
      <c r="D20" s="15"/>
      <c r="E20" s="15"/>
      <c r="F20" s="15"/>
      <c r="G20" s="16">
        <f t="shared" si="0"/>
        <v>0</v>
      </c>
      <c r="H20" s="17"/>
      <c r="I20" s="15"/>
      <c r="J20" s="15"/>
      <c r="K20" s="15"/>
      <c r="L20" s="15"/>
      <c r="M20" s="15"/>
      <c r="N20" s="15"/>
      <c r="O20" s="18"/>
      <c r="P20" s="3"/>
      <c r="Q20" s="23"/>
      <c r="R20" s="3"/>
      <c r="S20" s="2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="4" customFormat="1" ht="22.5" customHeight="1" spans="1:62">
      <c r="A21" s="21"/>
      <c r="B21" s="15"/>
      <c r="C21" s="15"/>
      <c r="D21" s="15"/>
      <c r="E21" s="15"/>
      <c r="F21" s="15"/>
      <c r="G21" s="16">
        <f t="shared" si="0"/>
        <v>0</v>
      </c>
      <c r="H21" s="17"/>
      <c r="I21" s="15"/>
      <c r="J21" s="15"/>
      <c r="K21" s="15"/>
      <c r="L21" s="15"/>
      <c r="M21" s="15"/>
      <c r="N21" s="15"/>
      <c r="O21" s="18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="5" customFormat="1" ht="22.5" customHeight="1" spans="1:62">
      <c r="A22" s="21"/>
      <c r="B22" s="15"/>
      <c r="C22" s="15"/>
      <c r="D22" s="15"/>
      <c r="E22" s="15"/>
      <c r="F22" s="15"/>
      <c r="G22" s="16">
        <f t="shared" si="0"/>
        <v>0</v>
      </c>
      <c r="H22" s="17"/>
      <c r="I22" s="15"/>
      <c r="J22" s="25"/>
      <c r="K22" s="15"/>
      <c r="L22" s="15"/>
      <c r="M22" s="15"/>
      <c r="N22" s="15"/>
      <c r="O22" s="18"/>
      <c r="P22" s="26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="4" customFormat="1" ht="22.5" customHeight="1" spans="1:62">
      <c r="A23" s="27"/>
      <c r="B23" s="15"/>
      <c r="C23" s="15"/>
      <c r="D23" s="15"/>
      <c r="E23" s="15"/>
      <c r="F23" s="15"/>
      <c r="G23" s="16">
        <f t="shared" si="0"/>
        <v>0</v>
      </c>
      <c r="H23" s="17"/>
      <c r="I23" s="15"/>
      <c r="J23" s="15"/>
      <c r="K23" s="15"/>
      <c r="L23" s="15"/>
      <c r="M23" s="15"/>
      <c r="N23" s="15"/>
      <c r="O23" s="1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="5" customFormat="1" ht="22.5" customHeight="1" spans="1:62">
      <c r="A24" s="21"/>
      <c r="B24" s="15"/>
      <c r="C24" s="15"/>
      <c r="D24" s="15"/>
      <c r="E24" s="15"/>
      <c r="F24" s="15"/>
      <c r="G24" s="16">
        <f t="shared" si="0"/>
        <v>0</v>
      </c>
      <c r="H24" s="17"/>
      <c r="I24" s="15"/>
      <c r="J24" s="15"/>
      <c r="K24" s="15"/>
      <c r="L24" s="15"/>
      <c r="M24" s="15"/>
      <c r="N24" s="15"/>
      <c r="O24" s="18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="4" customFormat="1" ht="22.5" customHeight="1" spans="1:62">
      <c r="A25" s="21"/>
      <c r="B25" s="15"/>
      <c r="C25" s="15"/>
      <c r="D25" s="15"/>
      <c r="E25" s="15"/>
      <c r="F25" s="15"/>
      <c r="G25" s="16">
        <f t="shared" si="0"/>
        <v>0</v>
      </c>
      <c r="H25" s="17"/>
      <c r="I25" s="15"/>
      <c r="J25" s="15"/>
      <c r="K25" s="15"/>
      <c r="L25" s="15"/>
      <c r="M25" s="15"/>
      <c r="N25" s="15"/>
      <c r="O25" s="18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="5" customFormat="1" ht="22.5" customHeight="1" spans="1:62">
      <c r="A26" s="21"/>
      <c r="B26" s="15"/>
      <c r="C26" s="15"/>
      <c r="D26" s="15"/>
      <c r="E26" s="15"/>
      <c r="F26" s="15"/>
      <c r="G26" s="16">
        <f t="shared" si="0"/>
        <v>0</v>
      </c>
      <c r="H26" s="17"/>
      <c r="I26" s="15"/>
      <c r="J26" s="15"/>
      <c r="K26" s="15"/>
      <c r="L26" s="15"/>
      <c r="M26" s="15"/>
      <c r="N26" s="15"/>
      <c r="O26" s="1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="4" customFormat="1" ht="22.5" customHeight="1" spans="1:62">
      <c r="A27" s="21"/>
      <c r="B27" s="15"/>
      <c r="C27" s="15"/>
      <c r="D27" s="15"/>
      <c r="E27" s="15"/>
      <c r="F27" s="15"/>
      <c r="G27" s="16">
        <f t="shared" si="0"/>
        <v>0</v>
      </c>
      <c r="H27" s="17"/>
      <c r="I27" s="15"/>
      <c r="J27" s="15"/>
      <c r="K27" s="15"/>
      <c r="L27" s="15"/>
      <c r="M27" s="15"/>
      <c r="N27" s="15"/>
      <c r="O27" s="18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="5" customFormat="1" ht="22.5" customHeight="1" spans="1:62">
      <c r="A28" s="21"/>
      <c r="B28" s="15"/>
      <c r="C28" s="15"/>
      <c r="D28" s="15"/>
      <c r="E28" s="15"/>
      <c r="F28" s="15"/>
      <c r="G28" s="16">
        <f t="shared" si="0"/>
        <v>0</v>
      </c>
      <c r="H28" s="17"/>
      <c r="I28" s="15"/>
      <c r="J28" s="15"/>
      <c r="K28" s="15"/>
      <c r="L28" s="15"/>
      <c r="M28" s="15"/>
      <c r="N28" s="15"/>
      <c r="O28" s="1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="4" customFormat="1" ht="22.5" customHeight="1" spans="1:62">
      <c r="A29" s="21"/>
      <c r="B29" s="15"/>
      <c r="C29" s="15"/>
      <c r="D29" s="15"/>
      <c r="E29" s="15"/>
      <c r="F29" s="15"/>
      <c r="G29" s="16">
        <f t="shared" si="0"/>
        <v>0</v>
      </c>
      <c r="H29" s="17"/>
      <c r="I29" s="15"/>
      <c r="J29" s="15"/>
      <c r="K29" s="15"/>
      <c r="L29" s="15"/>
      <c r="M29" s="15"/>
      <c r="N29" s="15"/>
      <c r="O29" s="1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="5" customFormat="1" ht="22.5" customHeight="1" spans="1:62">
      <c r="A30" s="21"/>
      <c r="B30" s="15"/>
      <c r="C30" s="15"/>
      <c r="D30" s="15"/>
      <c r="E30" s="15"/>
      <c r="F30" s="15"/>
      <c r="G30" s="16">
        <f t="shared" si="0"/>
        <v>0</v>
      </c>
      <c r="H30" s="17"/>
      <c r="I30" s="15"/>
      <c r="J30" s="15"/>
      <c r="K30" s="15"/>
      <c r="L30" s="15"/>
      <c r="M30" s="15"/>
      <c r="N30" s="15"/>
      <c r="O30" s="1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="4" customFormat="1" ht="22.5" customHeight="1" spans="1:62">
      <c r="A31" s="21"/>
      <c r="B31" s="15"/>
      <c r="C31" s="15"/>
      <c r="D31" s="15"/>
      <c r="E31" s="15"/>
      <c r="F31" s="15"/>
      <c r="G31" s="16">
        <f t="shared" si="0"/>
        <v>0</v>
      </c>
      <c r="H31" s="17"/>
      <c r="I31" s="15"/>
      <c r="J31" s="15"/>
      <c r="K31" s="15"/>
      <c r="L31" s="15"/>
      <c r="M31" s="15"/>
      <c r="N31" s="15"/>
      <c r="O31" s="1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="5" customFormat="1" ht="22.5" customHeight="1" spans="1:62">
      <c r="A32" s="21"/>
      <c r="B32" s="15"/>
      <c r="C32" s="15"/>
      <c r="D32" s="15"/>
      <c r="E32" s="15"/>
      <c r="F32" s="15"/>
      <c r="G32" s="16">
        <f t="shared" si="0"/>
        <v>0</v>
      </c>
      <c r="H32" s="17"/>
      <c r="I32" s="15"/>
      <c r="J32" s="15"/>
      <c r="K32" s="15"/>
      <c r="L32" s="15"/>
      <c r="M32" s="15"/>
      <c r="N32" s="15"/>
      <c r="O32" s="18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customFormat="1" ht="22.5" customHeight="1" spans="1:62">
      <c r="A33" s="21"/>
      <c r="B33" s="15"/>
      <c r="C33" s="15"/>
      <c r="D33" s="15">
        <f t="shared" ref="D33:H33" si="1">SUM(D3:D32)</f>
        <v>0</v>
      </c>
      <c r="E33" s="15">
        <f t="shared" si="1"/>
        <v>0</v>
      </c>
      <c r="F33" s="15"/>
      <c r="G33" s="16">
        <f t="shared" si="1"/>
        <v>0</v>
      </c>
      <c r="H33" s="17">
        <f t="shared" si="1"/>
        <v>0</v>
      </c>
      <c r="I33" s="15"/>
      <c r="J33" s="15"/>
      <c r="K33" s="15"/>
      <c r="L33" s="15"/>
      <c r="M33" s="15"/>
      <c r="N33" s="15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</row>
    <row r="34" spans="1:62">
      <c r="A34" s="29"/>
      <c r="B34" s="30"/>
      <c r="C34" s="30"/>
      <c r="D34" s="30"/>
      <c r="E34" s="30"/>
      <c r="F34" s="30"/>
      <c r="G34" s="31"/>
      <c r="H34" s="30"/>
      <c r="I34" s="30"/>
      <c r="J34" s="30"/>
      <c r="K34" s="30"/>
      <c r="L34" s="30"/>
      <c r="M34" s="30"/>
      <c r="N34" s="30"/>
    </row>
    <row r="35" spans="1:62">
      <c r="G35" s="32"/>
    </row>
    <row r="36" spans="1:62">
      <c r="G36" s="32"/>
    </row>
    <row r="37" spans="1:62">
      <c r="G37" s="32"/>
    </row>
    <row r="38" spans="1:62">
      <c r="G38" s="32"/>
    </row>
    <row r="39" spans="1:62">
      <c r="G39" s="32"/>
    </row>
    <row r="40" spans="1:62">
      <c r="G40" s="32"/>
    </row>
    <row r="41" spans="1:62">
      <c r="G41" s="32"/>
    </row>
    <row r="42" spans="1:62">
      <c r="G42" s="32"/>
    </row>
    <row r="43" spans="1:62">
      <c r="G43" s="32"/>
    </row>
    <row r="44" spans="1:62">
      <c r="G44" s="32"/>
    </row>
    <row r="45" spans="1:62">
      <c r="G45" s="32"/>
    </row>
    <row r="46" spans="1:62">
      <c r="G46" s="32"/>
    </row>
    <row r="47" spans="1:62">
      <c r="G47" s="32"/>
    </row>
    <row r="48" spans="1:62">
      <c r="G48" s="32"/>
    </row>
    <row r="49" spans="7:7">
      <c r="G49" s="32"/>
    </row>
    <row r="50" spans="7:7">
      <c r="G50" s="32"/>
    </row>
    <row r="51" spans="7:7">
      <c r="G51" s="32"/>
    </row>
    <row r="52" spans="7:7">
      <c r="G52" s="32"/>
    </row>
    <row r="53" spans="7:7">
      <c r="G53" s="32"/>
    </row>
    <row r="54" spans="7:7">
      <c r="G54" s="32"/>
    </row>
    <row r="55" spans="7:7">
      <c r="G55" s="32"/>
    </row>
    <row r="56" spans="7:7">
      <c r="G56" s="32"/>
    </row>
    <row r="57" spans="7:7">
      <c r="G57" s="32"/>
    </row>
    <row r="58" spans="7:7">
      <c r="G58" s="32"/>
    </row>
    <row r="59" spans="7:7">
      <c r="G59" s="32"/>
    </row>
    <row r="60" spans="7:7">
      <c r="G60" s="32"/>
    </row>
    <row r="61" spans="7:7">
      <c r="G61" s="32"/>
    </row>
    <row r="62" spans="7:7">
      <c r="G62" s="32"/>
    </row>
    <row r="63" spans="7:7">
      <c r="G63" s="32"/>
    </row>
    <row r="64" spans="7:7">
      <c r="G64" s="32"/>
    </row>
    <row r="65" spans="7:7">
      <c r="G65" s="32"/>
    </row>
    <row r="66" spans="7:7">
      <c r="G66" s="32"/>
    </row>
    <row r="67" spans="7:7">
      <c r="G67" s="32"/>
    </row>
    <row r="68" spans="7:7">
      <c r="G68" s="32"/>
    </row>
    <row r="69" spans="7:7">
      <c r="G69" s="32"/>
    </row>
    <row r="70" spans="7:7">
      <c r="G70" s="32"/>
    </row>
    <row r="71" spans="7:7">
      <c r="G71" s="32"/>
    </row>
    <row r="72" spans="7:7">
      <c r="G72" s="32"/>
    </row>
    <row r="73" spans="7:7">
      <c r="G73" s="32"/>
    </row>
    <row r="74" spans="7:7">
      <c r="G74" s="32"/>
    </row>
    <row r="75" spans="7:7">
      <c r="G75" s="32"/>
    </row>
    <row r="76" spans="7:7">
      <c r="G76" s="32"/>
    </row>
    <row r="77" spans="7:7">
      <c r="G77" s="32"/>
    </row>
    <row r="78" spans="7:7">
      <c r="G78" s="32"/>
    </row>
    <row r="79" spans="7:7">
      <c r="G79" s="32"/>
    </row>
    <row r="80" spans="7:7">
      <c r="G80" s="32"/>
    </row>
    <row r="81" spans="7:7">
      <c r="G81" s="32"/>
    </row>
    <row r="82" spans="7:7">
      <c r="G82" s="32"/>
    </row>
    <row r="83" spans="7:7">
      <c r="G83" s="32"/>
    </row>
    <row r="84" spans="7:7">
      <c r="G84" s="32"/>
    </row>
    <row r="85" spans="7:7">
      <c r="G85" s="32"/>
    </row>
    <row r="86" spans="7:7">
      <c r="G86" s="32"/>
    </row>
    <row r="87" spans="7:7">
      <c r="G87" s="32"/>
    </row>
    <row r="88" spans="7:7">
      <c r="G88" s="32"/>
    </row>
    <row r="89" spans="7:7">
      <c r="G89" s="32"/>
    </row>
    <row r="90" spans="7:7">
      <c r="G90" s="32"/>
    </row>
    <row r="91" spans="7:7">
      <c r="G91" s="32"/>
    </row>
    <row r="92" spans="7:7">
      <c r="G92" s="32"/>
    </row>
    <row r="93" spans="7:7">
      <c r="G93" s="32"/>
    </row>
    <row r="94" spans="7:7">
      <c r="G94" s="32"/>
    </row>
    <row r="95" spans="7:7">
      <c r="G95" s="32"/>
    </row>
    <row r="96" spans="7:7">
      <c r="G96" s="32"/>
    </row>
    <row r="97" spans="7:7">
      <c r="G97" s="32"/>
    </row>
    <row r="98" spans="7:7">
      <c r="G98" s="32"/>
    </row>
    <row r="99" spans="7:7">
      <c r="G99" s="32"/>
    </row>
    <row r="100" spans="7:7">
      <c r="G100" s="32"/>
    </row>
    <row r="101" spans="7:7">
      <c r="G101" s="32"/>
    </row>
    <row r="102" spans="7:7">
      <c r="G102" s="32"/>
    </row>
    <row r="103" spans="7:7">
      <c r="G103" s="32"/>
    </row>
    <row r="104" spans="7:7">
      <c r="G104" s="32"/>
    </row>
    <row r="105" spans="7:7">
      <c r="G105" s="32"/>
    </row>
    <row r="106" spans="7:7">
      <c r="G106" s="32"/>
    </row>
    <row r="107" spans="7:7">
      <c r="G107" s="32"/>
    </row>
    <row r="108" spans="7:7">
      <c r="G108" s="32"/>
    </row>
    <row r="109" spans="7:7">
      <c r="G109" s="32"/>
    </row>
    <row r="110" spans="7:7">
      <c r="G110" s="32"/>
    </row>
    <row r="111" spans="7:7">
      <c r="G111" s="32"/>
    </row>
    <row r="112" spans="7:7">
      <c r="G112" s="32"/>
    </row>
    <row r="113" spans="7:7">
      <c r="G113" s="32"/>
    </row>
  </sheetData>
  <mergeCells count="1">
    <mergeCell ref="A1:N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17"/>
  <sheetViews>
    <sheetView topLeftCell="A8" workbookViewId="0">
      <selection activeCell="Y34" sqref="Y34"/>
    </sheetView>
  </sheetViews>
  <sheetFormatPr defaultColWidth="8.725" defaultRowHeight="13.5"/>
  <cols>
    <col min="1" max="1" width="13.375" style="6" customWidth="1"/>
    <col min="2" max="2" width="10.4666666666667" style="7" customWidth="1"/>
    <col min="3" max="3" width="16.2833333333333" style="7" customWidth="1"/>
    <col min="4" max="5" width="13.0083333333333" style="7" customWidth="1"/>
    <col min="6" max="6" width="13.9166666666667" style="7" customWidth="1"/>
    <col min="7" max="7" width="13.0083333333333" style="8" customWidth="1"/>
    <col min="8" max="10" width="13.0083333333333" style="7" customWidth="1"/>
    <col min="11" max="11" width="11.0083333333333" style="7" customWidth="1"/>
    <col min="12" max="12" width="10.4666666666667" style="7" customWidth="1"/>
    <col min="13" max="13" width="13.0083333333333" style="7" customWidth="1"/>
    <col min="14" max="14" width="15.9166666666667" style="7" customWidth="1"/>
    <col min="15" max="15" width="14.0916666666667" style="33" customWidth="1"/>
    <col min="16" max="19" width="8.725" style="33"/>
    <col min="20" max="20" width="18.625" customWidth="1"/>
    <col min="21" max="21" width="12.5" customWidth="1"/>
  </cols>
  <sheetData>
    <row r="1" s="1" customFormat="1" ht="28.5" customHeight="1" spans="1:6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"/>
      <c r="P1" s="34"/>
      <c r="Q1" s="34"/>
      <c r="R1" s="34"/>
      <c r="S1" s="34"/>
    </row>
    <row r="2" s="2" customFormat="1" ht="22.5" customHeight="1" spans="1:63">
      <c r="A2" s="10" t="s">
        <v>1</v>
      </c>
      <c r="B2" s="11" t="s">
        <v>2</v>
      </c>
      <c r="C2" s="11" t="s">
        <v>3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160</v>
      </c>
      <c r="N2" s="11" t="s">
        <v>15</v>
      </c>
      <c r="O2" s="35"/>
      <c r="P2" s="36"/>
      <c r="Q2" s="36"/>
      <c r="R2" s="36"/>
      <c r="S2" s="37"/>
    </row>
    <row r="3" s="3" customFormat="1" ht="22.5" customHeight="1" spans="1:63">
      <c r="A3" s="14" t="s">
        <v>161</v>
      </c>
      <c r="B3" s="15" t="s">
        <v>162</v>
      </c>
      <c r="C3" s="15" t="s">
        <v>70</v>
      </c>
      <c r="D3" s="15">
        <v>43</v>
      </c>
      <c r="E3" s="15">
        <v>1</v>
      </c>
      <c r="F3" s="15">
        <v>30</v>
      </c>
      <c r="G3" s="16">
        <v>1300</v>
      </c>
      <c r="H3" s="17">
        <v>1300</v>
      </c>
      <c r="I3" s="15"/>
      <c r="J3" s="15"/>
      <c r="K3" s="15" t="s">
        <v>21</v>
      </c>
      <c r="L3" s="15"/>
      <c r="M3" s="15"/>
      <c r="N3" s="15"/>
      <c r="O3" s="38"/>
      <c r="P3" s="39"/>
      <c r="Q3" s="39"/>
      <c r="R3" s="39"/>
      <c r="S3" s="39"/>
    </row>
    <row r="4" s="4" customFormat="1" ht="22.5" customHeight="1" spans="1:63">
      <c r="A4" s="14" t="s">
        <v>163</v>
      </c>
      <c r="B4" s="15" t="s">
        <v>105</v>
      </c>
      <c r="C4" s="15" t="s">
        <v>101</v>
      </c>
      <c r="D4" s="15">
        <v>27</v>
      </c>
      <c r="E4" s="15"/>
      <c r="F4" s="15">
        <v>25</v>
      </c>
      <c r="G4" s="16">
        <f t="shared" ref="G4:G9" si="0">SUM(D4*F4)</f>
        <v>675</v>
      </c>
      <c r="H4" s="17">
        <v>675</v>
      </c>
      <c r="I4" s="15"/>
      <c r="J4" s="15"/>
      <c r="K4" s="15" t="s">
        <v>21</v>
      </c>
      <c r="L4" s="15"/>
      <c r="M4" s="15"/>
      <c r="N4" s="15"/>
      <c r="O4" s="38"/>
      <c r="P4" s="39"/>
      <c r="Q4" s="39"/>
      <c r="R4" s="39"/>
      <c r="S4" s="39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="5" customFormat="1" ht="22.5" customHeight="1" spans="1:63">
      <c r="A5" s="14" t="s">
        <v>163</v>
      </c>
      <c r="B5" s="15" t="s">
        <v>110</v>
      </c>
      <c r="C5" s="15" t="s">
        <v>111</v>
      </c>
      <c r="D5" s="15">
        <v>37</v>
      </c>
      <c r="E5" s="15"/>
      <c r="F5" s="15">
        <v>25</v>
      </c>
      <c r="G5" s="16">
        <f t="shared" si="0"/>
        <v>925</v>
      </c>
      <c r="H5" s="40">
        <v>925</v>
      </c>
      <c r="I5" s="15"/>
      <c r="J5" s="15"/>
      <c r="K5" s="15"/>
      <c r="L5" s="15"/>
      <c r="M5" s="15" t="s">
        <v>164</v>
      </c>
      <c r="N5" s="15">
        <v>79</v>
      </c>
      <c r="O5" s="38"/>
      <c r="P5" s="39"/>
      <c r="Q5" s="39"/>
      <c r="R5" s="39"/>
      <c r="S5" s="39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s="4" customFormat="1" ht="22.5" customHeight="1" spans="1:63">
      <c r="A6" s="14" t="s">
        <v>165</v>
      </c>
      <c r="B6" s="15" t="s">
        <v>166</v>
      </c>
      <c r="C6" s="15" t="s">
        <v>111</v>
      </c>
      <c r="D6" s="15">
        <v>52</v>
      </c>
      <c r="E6" s="15"/>
      <c r="F6" s="15">
        <v>25</v>
      </c>
      <c r="G6" s="16">
        <f t="shared" si="0"/>
        <v>1300</v>
      </c>
      <c r="H6" s="17">
        <v>1300</v>
      </c>
      <c r="I6" s="15"/>
      <c r="J6" s="15"/>
      <c r="K6" s="15" t="s">
        <v>21</v>
      </c>
      <c r="L6" s="15"/>
      <c r="M6" s="15" t="s">
        <v>167</v>
      </c>
      <c r="N6" s="15">
        <v>50</v>
      </c>
      <c r="O6" s="38"/>
      <c r="P6" s="39"/>
      <c r="Q6" s="39"/>
      <c r="R6" s="39"/>
      <c r="S6" s="39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</row>
    <row r="7" s="5" customFormat="1" ht="22.5" customHeight="1" spans="1:63">
      <c r="A7" s="14" t="s">
        <v>168</v>
      </c>
      <c r="B7" s="15"/>
      <c r="C7" s="15"/>
      <c r="D7" s="15"/>
      <c r="E7" s="15"/>
      <c r="F7" s="15"/>
      <c r="G7" s="16">
        <f t="shared" si="0"/>
        <v>0</v>
      </c>
      <c r="H7" s="17"/>
      <c r="I7" s="15"/>
      <c r="J7" s="15"/>
      <c r="K7" s="41"/>
      <c r="L7" s="15"/>
      <c r="M7" s="15" t="s">
        <v>92</v>
      </c>
      <c r="N7" s="15">
        <v>363</v>
      </c>
      <c r="O7" s="38"/>
      <c r="P7" s="39"/>
      <c r="Q7" s="39"/>
      <c r="R7" s="39"/>
      <c r="S7" s="39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s="5" customFormat="1" ht="22.5" customHeight="1" spans="1:63">
      <c r="A8" s="42" t="s">
        <v>169</v>
      </c>
      <c r="B8" s="42" t="s">
        <v>169</v>
      </c>
      <c r="C8" s="42" t="s">
        <v>169</v>
      </c>
      <c r="D8" s="42" t="s">
        <v>169</v>
      </c>
      <c r="E8" s="42" t="s">
        <v>169</v>
      </c>
      <c r="F8" s="42" t="s">
        <v>169</v>
      </c>
      <c r="G8" s="42" t="e">
        <f t="shared" si="0"/>
        <v>#VALUE!</v>
      </c>
      <c r="H8" s="42" t="s">
        <v>169</v>
      </c>
      <c r="I8" s="42" t="s">
        <v>169</v>
      </c>
      <c r="J8" s="42" t="s">
        <v>169</v>
      </c>
      <c r="K8" s="42" t="s">
        <v>169</v>
      </c>
      <c r="L8" s="42" t="s">
        <v>169</v>
      </c>
      <c r="M8" s="42" t="s">
        <v>169</v>
      </c>
      <c r="N8" s="42" t="s">
        <v>169</v>
      </c>
      <c r="O8" s="38" t="s">
        <v>170</v>
      </c>
      <c r="P8" s="39"/>
      <c r="Q8" s="39"/>
      <c r="R8" s="39"/>
      <c r="S8" s="39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="4" customFormat="1" ht="22.5" customHeight="1" spans="1:63">
      <c r="A9" s="14"/>
      <c r="B9" s="15"/>
      <c r="C9" s="15"/>
      <c r="D9" s="15"/>
      <c r="E9" s="15"/>
      <c r="F9" s="15"/>
      <c r="G9" s="16">
        <f t="shared" si="0"/>
        <v>0</v>
      </c>
      <c r="H9" s="17"/>
      <c r="I9" s="15"/>
      <c r="J9" s="15"/>
      <c r="K9" s="15"/>
      <c r="L9" s="15"/>
      <c r="M9" s="15"/>
      <c r="N9" s="15"/>
      <c r="O9" s="38"/>
      <c r="P9" s="39"/>
      <c r="Q9" s="39"/>
      <c r="R9" s="43"/>
      <c r="S9" s="39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s="4" customFormat="1" ht="22.5" customHeight="1" spans="1:63">
      <c r="A10" s="14" t="s">
        <v>171</v>
      </c>
      <c r="B10" s="15" t="s">
        <v>88</v>
      </c>
      <c r="C10" s="15" t="s">
        <v>85</v>
      </c>
      <c r="D10" s="15">
        <v>29</v>
      </c>
      <c r="E10" s="15">
        <v>4</v>
      </c>
      <c r="F10" s="15">
        <v>30</v>
      </c>
      <c r="G10" s="16">
        <v>870</v>
      </c>
      <c r="H10" s="17">
        <v>870</v>
      </c>
      <c r="I10" s="15"/>
      <c r="J10" s="15"/>
      <c r="K10" s="15"/>
      <c r="L10" s="15">
        <v>4.8</v>
      </c>
      <c r="M10" s="15" t="s">
        <v>172</v>
      </c>
      <c r="N10" s="44">
        <v>162</v>
      </c>
      <c r="O10" s="38"/>
      <c r="P10" s="39"/>
      <c r="Q10" s="39"/>
      <c r="R10" s="45"/>
      <c r="S10" s="39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="5" customFormat="1" ht="22.5" customHeight="1" spans="1:63">
      <c r="A11" s="21" t="s">
        <v>173</v>
      </c>
      <c r="B11" s="15" t="s">
        <v>174</v>
      </c>
      <c r="C11" s="15" t="s">
        <v>85</v>
      </c>
      <c r="D11" s="15">
        <v>39</v>
      </c>
      <c r="E11" s="15">
        <v>5</v>
      </c>
      <c r="F11" s="15">
        <v>30</v>
      </c>
      <c r="G11" s="16">
        <f>SUM(D11*F11)</f>
        <v>1170</v>
      </c>
      <c r="H11" s="17">
        <v>1170</v>
      </c>
      <c r="I11" s="15"/>
      <c r="J11" s="15"/>
      <c r="K11" s="15"/>
      <c r="L11" s="15">
        <v>4.8</v>
      </c>
      <c r="M11" s="15" t="s">
        <v>175</v>
      </c>
      <c r="N11" s="44">
        <v>300</v>
      </c>
      <c r="O11" s="38"/>
      <c r="P11" s="39"/>
      <c r="Q11" s="39"/>
      <c r="R11" s="39"/>
      <c r="S11" s="39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 s="5" customFormat="1" ht="22.5" customHeight="1" spans="1:63">
      <c r="A12" s="21" t="s">
        <v>176</v>
      </c>
      <c r="B12" s="15" t="s">
        <v>131</v>
      </c>
      <c r="C12" s="15" t="s">
        <v>111</v>
      </c>
      <c r="D12" s="15">
        <v>32</v>
      </c>
      <c r="E12" s="15">
        <v>5</v>
      </c>
      <c r="F12" s="15">
        <v>25</v>
      </c>
      <c r="G12" s="16">
        <v>800</v>
      </c>
      <c r="H12" s="19" t="s">
        <v>29</v>
      </c>
      <c r="I12" s="15"/>
      <c r="J12" s="15"/>
      <c r="K12" s="15"/>
      <c r="L12" s="15"/>
      <c r="M12" s="15"/>
      <c r="N12" s="44"/>
      <c r="O12" s="38" t="s">
        <v>177</v>
      </c>
      <c r="P12" s="39" t="s">
        <v>178</v>
      </c>
      <c r="Q12" s="39" t="s">
        <v>179</v>
      </c>
      <c r="R12" s="39" t="s">
        <v>180</v>
      </c>
      <c r="S12" s="39" t="s">
        <v>181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="4" customFormat="1" ht="22.5" customHeight="1" spans="1:63">
      <c r="A13" s="21" t="s">
        <v>182</v>
      </c>
      <c r="B13" s="15" t="s">
        <v>183</v>
      </c>
      <c r="C13" s="15" t="s">
        <v>98</v>
      </c>
      <c r="D13" s="15">
        <v>20</v>
      </c>
      <c r="E13" s="15">
        <v>7</v>
      </c>
      <c r="F13" s="15">
        <v>30</v>
      </c>
      <c r="G13" s="16">
        <f>SUM(D13*F13)</f>
        <v>600</v>
      </c>
      <c r="H13" s="17">
        <v>600</v>
      </c>
      <c r="I13" s="15"/>
      <c r="J13" s="15"/>
      <c r="K13" s="15"/>
      <c r="L13" s="15">
        <v>4.9</v>
      </c>
      <c r="M13" s="15" t="s">
        <v>122</v>
      </c>
      <c r="N13" s="44">
        <v>55</v>
      </c>
      <c r="O13" s="38">
        <v>4570</v>
      </c>
      <c r="P13" s="39">
        <v>147</v>
      </c>
      <c r="Q13" s="39">
        <v>97</v>
      </c>
      <c r="R13" s="39">
        <v>1304</v>
      </c>
      <c r="S13" s="39">
        <v>900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</row>
    <row r="14" s="4" customFormat="1" ht="22.5" customHeight="1" spans="1:63">
      <c r="A14" s="21" t="s">
        <v>184</v>
      </c>
      <c r="B14" s="15" t="s">
        <v>39</v>
      </c>
      <c r="C14" s="15" t="s">
        <v>101</v>
      </c>
      <c r="D14" s="15">
        <v>58</v>
      </c>
      <c r="E14" s="15">
        <v>1</v>
      </c>
      <c r="F14" s="15">
        <v>20</v>
      </c>
      <c r="G14" s="16">
        <f t="shared" ref="G14:G19" si="1">SUM(D14*F14)</f>
        <v>1160</v>
      </c>
      <c r="H14" s="17">
        <v>1150</v>
      </c>
      <c r="I14" s="15"/>
      <c r="J14" s="15"/>
      <c r="K14" s="41"/>
      <c r="L14" s="15">
        <v>4.12</v>
      </c>
      <c r="M14" s="15" t="s">
        <v>92</v>
      </c>
      <c r="N14" s="44">
        <v>720</v>
      </c>
      <c r="O14" s="38"/>
      <c r="P14" s="39"/>
      <c r="Q14" s="39"/>
      <c r="R14" s="39"/>
      <c r="S14" s="39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</row>
    <row r="15" s="4" customFormat="1" ht="22.5" customHeight="1" spans="1:63">
      <c r="A15" s="21" t="s">
        <v>182</v>
      </c>
      <c r="B15" s="15" t="s">
        <v>97</v>
      </c>
      <c r="C15" s="15" t="s">
        <v>98</v>
      </c>
      <c r="D15" s="15">
        <v>7</v>
      </c>
      <c r="E15" s="15">
        <v>6</v>
      </c>
      <c r="F15" s="15">
        <v>30</v>
      </c>
      <c r="G15" s="16">
        <f t="shared" si="1"/>
        <v>210</v>
      </c>
      <c r="H15" s="17">
        <v>210</v>
      </c>
      <c r="I15" s="15"/>
      <c r="J15" s="15"/>
      <c r="K15" s="41"/>
      <c r="L15" s="15">
        <v>4.12</v>
      </c>
      <c r="M15" s="15" t="s">
        <v>185</v>
      </c>
      <c r="N15" s="15">
        <v>72</v>
      </c>
      <c r="O15" s="38"/>
      <c r="P15" s="39"/>
      <c r="Q15" s="39"/>
      <c r="R15" s="39"/>
      <c r="S15" s="39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 s="4" customFormat="1" ht="22.5" customHeight="1" spans="1:63">
      <c r="A16" s="21" t="s">
        <v>182</v>
      </c>
      <c r="B16" s="15" t="s">
        <v>103</v>
      </c>
      <c r="C16" s="15" t="s">
        <v>98</v>
      </c>
      <c r="D16" s="15">
        <v>19</v>
      </c>
      <c r="E16" s="15">
        <v>6</v>
      </c>
      <c r="F16" s="15">
        <v>30</v>
      </c>
      <c r="G16" s="16">
        <f t="shared" si="1"/>
        <v>570</v>
      </c>
      <c r="H16" s="17">
        <v>570</v>
      </c>
      <c r="I16" s="15"/>
      <c r="J16" s="15"/>
      <c r="K16" s="15"/>
      <c r="L16" s="15">
        <v>4.12</v>
      </c>
      <c r="M16" s="15" t="s">
        <v>186</v>
      </c>
      <c r="N16" s="15">
        <v>600</v>
      </c>
      <c r="O16" s="38" t="s">
        <v>187</v>
      </c>
      <c r="P16" s="39" t="s">
        <v>188</v>
      </c>
      <c r="Q16" s="39"/>
      <c r="R16" s="39"/>
      <c r="S16" s="39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</row>
    <row r="17" s="5" customFormat="1" ht="22.5" customHeight="1" spans="1:63">
      <c r="A17" s="21"/>
      <c r="B17" s="15"/>
      <c r="C17" s="15"/>
      <c r="D17" s="15"/>
      <c r="E17" s="15"/>
      <c r="F17" s="15"/>
      <c r="G17" s="16"/>
      <c r="H17" s="19"/>
      <c r="I17" s="15"/>
      <c r="J17" s="15"/>
      <c r="K17" s="15"/>
      <c r="L17" s="15">
        <v>4.14</v>
      </c>
      <c r="M17" s="15" t="s">
        <v>92</v>
      </c>
      <c r="N17" s="15">
        <v>422</v>
      </c>
      <c r="O17" s="38" t="s">
        <v>189</v>
      </c>
      <c r="P17" s="39" t="s">
        <v>190</v>
      </c>
      <c r="Q17" s="39"/>
      <c r="R17" s="39"/>
      <c r="S17" s="39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="5" customFormat="1" ht="22.5" customHeight="1" spans="1:63">
      <c r="A18" s="42" t="s">
        <v>169</v>
      </c>
      <c r="B18" s="42" t="s">
        <v>169</v>
      </c>
      <c r="C18" s="42" t="s">
        <v>169</v>
      </c>
      <c r="D18" s="42" t="s">
        <v>169</v>
      </c>
      <c r="E18" s="42" t="s">
        <v>169</v>
      </c>
      <c r="F18" s="42" t="s">
        <v>169</v>
      </c>
      <c r="G18" s="42" t="s">
        <v>169</v>
      </c>
      <c r="H18" s="42" t="s">
        <v>169</v>
      </c>
      <c r="I18" s="42" t="s">
        <v>169</v>
      </c>
      <c r="J18" s="42" t="s">
        <v>169</v>
      </c>
      <c r="K18" s="42" t="s">
        <v>169</v>
      </c>
      <c r="L18" s="42" t="s">
        <v>169</v>
      </c>
      <c r="M18" s="42" t="s">
        <v>169</v>
      </c>
      <c r="N18" s="42" t="s">
        <v>169</v>
      </c>
      <c r="O18" s="46"/>
      <c r="P18" s="47"/>
      <c r="Q18" s="47"/>
      <c r="R18" s="39"/>
      <c r="S18" s="39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 s="5" customFormat="1" ht="22.5" customHeight="1" spans="1:63">
      <c r="A19" s="14" t="s">
        <v>191</v>
      </c>
      <c r="B19" s="15" t="s">
        <v>44</v>
      </c>
      <c r="C19" s="15" t="s">
        <v>44</v>
      </c>
      <c r="D19" s="15">
        <v>40</v>
      </c>
      <c r="E19" s="15">
        <v>7</v>
      </c>
      <c r="F19" s="15">
        <v>30</v>
      </c>
      <c r="G19" s="16">
        <f t="shared" si="1"/>
        <v>1200</v>
      </c>
      <c r="H19" s="48">
        <v>1200</v>
      </c>
      <c r="I19" s="42"/>
      <c r="J19" s="49"/>
      <c r="K19" s="42"/>
      <c r="L19" s="42"/>
      <c r="M19" s="42"/>
      <c r="N19" s="50"/>
      <c r="O19" s="46"/>
      <c r="P19" s="47"/>
      <c r="Q19" s="47"/>
      <c r="R19" s="39"/>
      <c r="S19" s="39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="4" customFormat="1" ht="22.5" customHeight="1" spans="1:63">
      <c r="A20" s="21" t="s">
        <v>192</v>
      </c>
      <c r="B20" s="15" t="s">
        <v>121</v>
      </c>
      <c r="C20" s="15" t="s">
        <v>118</v>
      </c>
      <c r="D20" s="15">
        <v>45</v>
      </c>
      <c r="E20" s="15">
        <v>21</v>
      </c>
      <c r="F20" s="15">
        <v>30</v>
      </c>
      <c r="G20" s="16">
        <f t="shared" ref="G20:G35" si="2">SUM(D20*F20)</f>
        <v>1350</v>
      </c>
      <c r="H20" s="17">
        <v>1350</v>
      </c>
      <c r="I20" s="15"/>
      <c r="J20" s="15"/>
      <c r="K20" s="15"/>
      <c r="L20" s="15"/>
      <c r="M20" s="15"/>
      <c r="N20" s="15"/>
      <c r="O20" s="38"/>
      <c r="P20" s="39"/>
      <c r="Q20" s="39"/>
      <c r="R20" s="39"/>
      <c r="S20" s="39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</row>
    <row r="21" s="5" customFormat="1" ht="22.5" customHeight="1" spans="1:63">
      <c r="A21" s="21" t="s">
        <v>193</v>
      </c>
      <c r="B21" s="15" t="s">
        <v>25</v>
      </c>
      <c r="C21" s="15" t="s">
        <v>118</v>
      </c>
      <c r="D21" s="15">
        <v>15</v>
      </c>
      <c r="E21" s="15">
        <v>6</v>
      </c>
      <c r="F21" s="15">
        <v>30</v>
      </c>
      <c r="G21" s="16">
        <f t="shared" si="2"/>
        <v>450</v>
      </c>
      <c r="H21" s="17">
        <v>450</v>
      </c>
      <c r="I21" s="15"/>
      <c r="J21" s="15"/>
      <c r="K21" s="15"/>
      <c r="L21" s="15"/>
      <c r="M21" s="15"/>
      <c r="N21" s="15"/>
      <c r="O21" s="38"/>
      <c r="P21" s="39"/>
      <c r="Q21" s="39"/>
      <c r="R21" s="43"/>
      <c r="S21" s="39"/>
      <c r="T21" s="22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</row>
    <row r="22" s="5" customFormat="1" ht="22.5" customHeight="1" spans="1:63">
      <c r="A22" s="21" t="s">
        <v>193</v>
      </c>
      <c r="B22" s="15" t="s">
        <v>127</v>
      </c>
      <c r="C22" s="15" t="s">
        <v>118</v>
      </c>
      <c r="D22" s="15">
        <v>24</v>
      </c>
      <c r="E22" s="15">
        <v>8</v>
      </c>
      <c r="F22" s="15">
        <v>30</v>
      </c>
      <c r="G22" s="16">
        <f t="shared" si="2"/>
        <v>720</v>
      </c>
      <c r="H22" s="17">
        <v>720</v>
      </c>
      <c r="I22" s="15"/>
      <c r="J22" s="15"/>
      <c r="K22" s="15"/>
      <c r="L22" s="15"/>
      <c r="M22" s="15"/>
      <c r="N22" s="15"/>
      <c r="O22" s="51">
        <v>0.3</v>
      </c>
      <c r="P22" s="39" t="s">
        <v>194</v>
      </c>
      <c r="Q22" s="39" t="s">
        <v>195</v>
      </c>
      <c r="R22" s="45"/>
      <c r="S22" s="39"/>
      <c r="T22" s="24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="5" customFormat="1" ht="22.5" customHeight="1" spans="1:63">
      <c r="A23" s="21" t="s">
        <v>193</v>
      </c>
      <c r="B23" s="15" t="s">
        <v>134</v>
      </c>
      <c r="C23" s="15" t="s">
        <v>118</v>
      </c>
      <c r="D23" s="15">
        <v>21</v>
      </c>
      <c r="E23" s="15">
        <v>1</v>
      </c>
      <c r="F23" s="15">
        <v>30</v>
      </c>
      <c r="G23" s="16">
        <f t="shared" si="2"/>
        <v>630</v>
      </c>
      <c r="H23" s="17">
        <v>630</v>
      </c>
      <c r="I23" s="15"/>
      <c r="J23" s="15"/>
      <c r="K23" s="15"/>
      <c r="L23" s="15"/>
      <c r="M23" s="15"/>
      <c r="N23" s="15"/>
      <c r="O23" s="38">
        <v>1371</v>
      </c>
      <c r="P23" s="39">
        <v>3199</v>
      </c>
      <c r="Q23" s="39">
        <v>1599.5</v>
      </c>
      <c r="R23" s="45"/>
      <c r="S23" s="39"/>
      <c r="T23" s="24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</row>
    <row r="24" s="5" customFormat="1" ht="22.5" customHeight="1" spans="1:63">
      <c r="A24" s="21" t="s">
        <v>196</v>
      </c>
      <c r="B24" s="15" t="s">
        <v>197</v>
      </c>
      <c r="C24" s="15" t="s">
        <v>81</v>
      </c>
      <c r="D24" s="15">
        <v>55</v>
      </c>
      <c r="E24" s="15">
        <v>7</v>
      </c>
      <c r="F24" s="15">
        <v>25</v>
      </c>
      <c r="G24" s="16">
        <f t="shared" si="2"/>
        <v>1375</v>
      </c>
      <c r="H24" s="17">
        <v>1380</v>
      </c>
      <c r="I24" s="15"/>
      <c r="J24" s="15"/>
      <c r="K24" s="15"/>
      <c r="L24" s="15"/>
      <c r="M24" s="15"/>
      <c r="N24" s="15"/>
      <c r="O24" s="38"/>
      <c r="P24" s="39"/>
      <c r="Q24" s="39"/>
      <c r="R24" s="45"/>
      <c r="S24" s="39"/>
      <c r="T24" s="24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</row>
    <row r="25" s="4" customFormat="1" ht="22.5" customHeight="1" spans="1:63">
      <c r="A25" s="21" t="s">
        <v>196</v>
      </c>
      <c r="B25" s="15" t="s">
        <v>198</v>
      </c>
      <c r="C25" s="15" t="s">
        <v>81</v>
      </c>
      <c r="D25" s="15">
        <v>90</v>
      </c>
      <c r="E25" s="15">
        <v>2</v>
      </c>
      <c r="F25" s="15">
        <v>25</v>
      </c>
      <c r="G25" s="16">
        <f t="shared" si="2"/>
        <v>2250</v>
      </c>
      <c r="H25" s="19" t="s">
        <v>29</v>
      </c>
      <c r="I25" s="15" t="s">
        <v>21</v>
      </c>
      <c r="J25" s="15">
        <v>4.18</v>
      </c>
      <c r="K25" s="15" t="s">
        <v>199</v>
      </c>
      <c r="L25" s="15" t="s">
        <v>200</v>
      </c>
      <c r="M25" s="15">
        <v>500</v>
      </c>
      <c r="N25" s="15"/>
      <c r="O25" s="38"/>
      <c r="P25" s="39"/>
      <c r="Q25" s="39"/>
      <c r="R25" s="39"/>
      <c r="S25" s="39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</row>
    <row r="26" s="5" customFormat="1" ht="22.5" customHeight="1" spans="1:63">
      <c r="A26" s="21" t="s">
        <v>201</v>
      </c>
      <c r="B26" s="15" t="s">
        <v>202</v>
      </c>
      <c r="C26" s="15" t="s">
        <v>203</v>
      </c>
      <c r="D26" s="15">
        <v>80</v>
      </c>
      <c r="E26" s="15">
        <v>1</v>
      </c>
      <c r="F26" s="15">
        <v>25</v>
      </c>
      <c r="G26" s="16">
        <f t="shared" si="2"/>
        <v>2000</v>
      </c>
      <c r="H26" s="19" t="s">
        <v>29</v>
      </c>
      <c r="I26" s="15" t="s">
        <v>21</v>
      </c>
      <c r="J26" s="25">
        <v>4.18</v>
      </c>
      <c r="K26" s="15" t="s">
        <v>204</v>
      </c>
      <c r="L26" s="15" t="s">
        <v>205</v>
      </c>
      <c r="M26" s="15">
        <v>1650</v>
      </c>
      <c r="N26" s="15"/>
      <c r="O26" s="38">
        <v>4.14</v>
      </c>
      <c r="P26" s="52" t="s">
        <v>92</v>
      </c>
      <c r="Q26" s="53">
        <v>97</v>
      </c>
      <c r="R26" s="39"/>
      <c r="S26" s="39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="4" customFormat="1" ht="22.5" customHeight="1" spans="1:63">
      <c r="A27" s="27" t="s">
        <v>196</v>
      </c>
      <c r="B27" s="15" t="s">
        <v>84</v>
      </c>
      <c r="C27" s="15" t="s">
        <v>85</v>
      </c>
      <c r="D27" s="15">
        <v>31</v>
      </c>
      <c r="E27" s="15">
        <v>5</v>
      </c>
      <c r="F27" s="15">
        <v>30</v>
      </c>
      <c r="G27" s="16">
        <f t="shared" si="2"/>
        <v>930</v>
      </c>
      <c r="H27" s="17">
        <v>930</v>
      </c>
      <c r="I27" s="15"/>
      <c r="J27" s="15">
        <v>4.21</v>
      </c>
      <c r="K27" s="15" t="s">
        <v>21</v>
      </c>
      <c r="L27" s="15" t="s">
        <v>206</v>
      </c>
      <c r="M27" s="15">
        <v>1700</v>
      </c>
      <c r="N27" s="15"/>
      <c r="O27" s="38">
        <v>4.15</v>
      </c>
      <c r="P27" s="54" t="s">
        <v>207</v>
      </c>
      <c r="Q27" s="39">
        <v>96</v>
      </c>
      <c r="R27" s="39"/>
      <c r="S27" s="39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="5" customFormat="1" ht="22.5" customHeight="1" spans="1:63">
      <c r="A28" s="21" t="s">
        <v>196</v>
      </c>
      <c r="B28" s="15" t="s">
        <v>91</v>
      </c>
      <c r="C28" s="15" t="s">
        <v>85</v>
      </c>
      <c r="D28" s="15">
        <v>30</v>
      </c>
      <c r="E28" s="15">
        <v>4</v>
      </c>
      <c r="F28" s="15">
        <v>30</v>
      </c>
      <c r="G28" s="16">
        <f t="shared" si="2"/>
        <v>900</v>
      </c>
      <c r="H28" s="17">
        <v>900</v>
      </c>
      <c r="I28" s="4"/>
      <c r="J28" s="15">
        <v>5.3</v>
      </c>
      <c r="K28" s="15" t="s">
        <v>21</v>
      </c>
      <c r="L28" s="15" t="s">
        <v>206</v>
      </c>
      <c r="M28" s="15">
        <v>500</v>
      </c>
      <c r="N28" s="15"/>
      <c r="O28" s="38">
        <v>4.17</v>
      </c>
      <c r="P28" s="39" t="s">
        <v>92</v>
      </c>
      <c r="Q28" s="39">
        <v>279</v>
      </c>
      <c r="R28" s="39"/>
      <c r="S28" s="39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</row>
    <row r="29" s="4" customFormat="1" ht="22.5" customHeight="1" spans="1:63">
      <c r="A29" s="21" t="s">
        <v>196</v>
      </c>
      <c r="B29" s="15" t="s">
        <v>208</v>
      </c>
      <c r="C29" s="15" t="s">
        <v>85</v>
      </c>
      <c r="D29" s="15">
        <v>30</v>
      </c>
      <c r="E29" s="15">
        <v>4</v>
      </c>
      <c r="F29" s="15">
        <v>30</v>
      </c>
      <c r="G29" s="16">
        <f t="shared" si="2"/>
        <v>900</v>
      </c>
      <c r="H29" s="17">
        <v>900</v>
      </c>
      <c r="I29" s="15"/>
      <c r="J29" s="15"/>
      <c r="K29" s="15"/>
      <c r="L29" s="15"/>
      <c r="M29" s="15"/>
      <c r="N29" s="15"/>
      <c r="O29" s="38">
        <v>4.19</v>
      </c>
      <c r="P29" s="39" t="s">
        <v>92</v>
      </c>
      <c r="Q29" s="39">
        <v>285</v>
      </c>
      <c r="R29" s="39"/>
      <c r="S29" s="39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="5" customFormat="1" ht="22.5" customHeight="1" spans="1:63">
      <c r="A30" s="21" t="s">
        <v>196</v>
      </c>
      <c r="B30" s="15" t="s">
        <v>209</v>
      </c>
      <c r="C30" s="15" t="s">
        <v>85</v>
      </c>
      <c r="D30" s="15">
        <v>23</v>
      </c>
      <c r="E30" s="15">
        <v>5</v>
      </c>
      <c r="F30" s="15">
        <v>30</v>
      </c>
      <c r="G30" s="16">
        <f t="shared" si="2"/>
        <v>690</v>
      </c>
      <c r="H30" s="17">
        <v>690</v>
      </c>
      <c r="I30" s="15"/>
      <c r="J30" s="15"/>
      <c r="K30" s="15"/>
      <c r="L30" s="15"/>
      <c r="M30" s="15"/>
      <c r="N30" s="15"/>
      <c r="O30" s="38">
        <v>4.22</v>
      </c>
      <c r="P30" s="39" t="s">
        <v>92</v>
      </c>
      <c r="Q30" s="39">
        <v>486</v>
      </c>
      <c r="R30" s="39"/>
      <c r="S30" s="39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</row>
    <row r="31" s="4" customFormat="1" ht="22.5" customHeight="1" spans="1:63">
      <c r="A31" s="21" t="s">
        <v>196</v>
      </c>
      <c r="B31" s="15" t="s">
        <v>154</v>
      </c>
      <c r="C31" s="15" t="s">
        <v>85</v>
      </c>
      <c r="D31" s="15">
        <v>38</v>
      </c>
      <c r="E31" s="15">
        <v>5</v>
      </c>
      <c r="F31" s="15">
        <v>30</v>
      </c>
      <c r="G31" s="16">
        <f t="shared" si="2"/>
        <v>1140</v>
      </c>
      <c r="H31" s="17">
        <v>1140</v>
      </c>
      <c r="I31" s="15"/>
      <c r="J31" s="15"/>
      <c r="K31" s="15"/>
      <c r="L31" s="15"/>
      <c r="M31" s="15"/>
      <c r="N31" s="15"/>
      <c r="O31" s="38">
        <v>4.18</v>
      </c>
      <c r="P31" s="39" t="s">
        <v>210</v>
      </c>
      <c r="Q31" s="39">
        <v>40</v>
      </c>
      <c r="R31" s="39"/>
      <c r="S31" s="39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</row>
    <row r="32" s="5" customFormat="1" ht="22.5" customHeight="1" spans="1:63">
      <c r="A32" s="21" t="s">
        <v>211</v>
      </c>
      <c r="B32" s="15" t="s">
        <v>212</v>
      </c>
      <c r="C32" s="15" t="s">
        <v>85</v>
      </c>
      <c r="D32" s="15">
        <v>22</v>
      </c>
      <c r="E32" s="15">
        <v>1</v>
      </c>
      <c r="F32" s="15">
        <v>30</v>
      </c>
      <c r="G32" s="16">
        <f t="shared" si="2"/>
        <v>660</v>
      </c>
      <c r="H32" s="17">
        <v>660</v>
      </c>
      <c r="I32" s="15"/>
      <c r="J32" s="15" t="s">
        <v>213</v>
      </c>
      <c r="K32" s="15" t="s">
        <v>202</v>
      </c>
      <c r="L32" s="15" t="s">
        <v>214</v>
      </c>
      <c r="M32" s="15">
        <v>25</v>
      </c>
      <c r="N32" s="15">
        <f>28*25</f>
        <v>700</v>
      </c>
      <c r="O32" s="38"/>
      <c r="P32" s="39"/>
      <c r="Q32" s="39"/>
      <c r="R32" s="39"/>
      <c r="S32" s="39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</row>
    <row r="33" s="4" customFormat="1" ht="22.5" customHeight="1" spans="1:63">
      <c r="A33" s="21" t="s">
        <v>211</v>
      </c>
      <c r="B33" s="15" t="s">
        <v>76</v>
      </c>
      <c r="C33" s="15" t="s">
        <v>118</v>
      </c>
      <c r="D33" s="15">
        <v>15</v>
      </c>
      <c r="E33" s="15">
        <v>8</v>
      </c>
      <c r="F33" s="15">
        <v>30</v>
      </c>
      <c r="G33" s="16">
        <f t="shared" si="2"/>
        <v>450</v>
      </c>
      <c r="H33" s="17">
        <v>450</v>
      </c>
      <c r="I33" s="15"/>
      <c r="J33" s="15" t="s">
        <v>213</v>
      </c>
      <c r="K33" s="15" t="s">
        <v>197</v>
      </c>
      <c r="L33" s="15" t="s">
        <v>215</v>
      </c>
      <c r="M33" s="15">
        <v>25</v>
      </c>
      <c r="N33" s="15">
        <f>48*25</f>
        <v>1200</v>
      </c>
      <c r="O33" s="38" t="s">
        <v>177</v>
      </c>
      <c r="P33" s="39" t="s">
        <v>216</v>
      </c>
      <c r="Q33" s="39" t="s">
        <v>213</v>
      </c>
      <c r="R33" s="39" t="s">
        <v>194</v>
      </c>
      <c r="S33" s="39" t="s">
        <v>195</v>
      </c>
      <c r="T33" s="3" t="s">
        <v>217</v>
      </c>
      <c r="U33" s="3" t="s">
        <v>218</v>
      </c>
      <c r="V33" s="3" t="s">
        <v>219</v>
      </c>
      <c r="W33" s="3" t="s">
        <v>220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</row>
    <row r="34" s="5" customFormat="1" ht="22.5" customHeight="1" spans="1:63">
      <c r="A34" s="21" t="s">
        <v>211</v>
      </c>
      <c r="B34" s="15" t="s">
        <v>221</v>
      </c>
      <c r="C34" s="15" t="s">
        <v>118</v>
      </c>
      <c r="D34" s="15">
        <v>14</v>
      </c>
      <c r="E34" s="15">
        <v>1</v>
      </c>
      <c r="F34" s="15">
        <v>30</v>
      </c>
      <c r="G34" s="16">
        <f t="shared" si="2"/>
        <v>420</v>
      </c>
      <c r="H34" s="17">
        <v>420</v>
      </c>
      <c r="I34" s="15"/>
      <c r="J34" s="15" t="s">
        <v>213</v>
      </c>
      <c r="K34" s="15" t="s">
        <v>209</v>
      </c>
      <c r="L34" s="15" t="s">
        <v>222</v>
      </c>
      <c r="M34" s="15">
        <v>30</v>
      </c>
      <c r="N34" s="15">
        <f>23*30</f>
        <v>690</v>
      </c>
      <c r="O34" s="38">
        <v>17065</v>
      </c>
      <c r="P34" s="39">
        <v>3433</v>
      </c>
      <c r="Q34" s="39">
        <v>4030</v>
      </c>
      <c r="R34" s="39">
        <v>9602</v>
      </c>
      <c r="S34" s="39">
        <v>4801</v>
      </c>
      <c r="T34" s="55">
        <v>4250</v>
      </c>
      <c r="U34" s="55">
        <v>2200</v>
      </c>
      <c r="V34" s="55">
        <v>1649</v>
      </c>
      <c r="W34" s="55">
        <v>685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="4" customFormat="1" ht="22.5" customHeight="1" spans="1:63">
      <c r="A35" s="21" t="s">
        <v>223</v>
      </c>
      <c r="B35" s="15" t="s">
        <v>80</v>
      </c>
      <c r="C35" s="15" t="s">
        <v>81</v>
      </c>
      <c r="D35" s="15">
        <v>40</v>
      </c>
      <c r="E35" s="15">
        <v>5</v>
      </c>
      <c r="F35" s="15">
        <v>25</v>
      </c>
      <c r="G35" s="16">
        <f t="shared" si="2"/>
        <v>1000</v>
      </c>
      <c r="H35" s="17">
        <v>1000</v>
      </c>
      <c r="I35" s="15"/>
      <c r="J35" s="15" t="s">
        <v>213</v>
      </c>
      <c r="K35" s="15" t="s">
        <v>91</v>
      </c>
      <c r="L35" s="15" t="s">
        <v>224</v>
      </c>
      <c r="M35" s="15">
        <v>30</v>
      </c>
      <c r="N35" s="15">
        <f>30*30</f>
        <v>900</v>
      </c>
      <c r="O35" s="38"/>
      <c r="P35" s="39"/>
      <c r="Q35" s="39"/>
      <c r="R35" s="39"/>
      <c r="S35" s="39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="5" customFormat="1" ht="22.5" customHeight="1" spans="1:63">
      <c r="A36" s="21"/>
      <c r="B36" s="15"/>
      <c r="C36" s="15"/>
      <c r="D36" s="15"/>
      <c r="E36" s="15"/>
      <c r="F36" s="15"/>
      <c r="G36" s="16"/>
      <c r="H36" s="17"/>
      <c r="I36" s="15"/>
      <c r="J36" s="15" t="s">
        <v>213</v>
      </c>
      <c r="K36" s="15" t="s">
        <v>208</v>
      </c>
      <c r="L36" s="15" t="s">
        <v>225</v>
      </c>
      <c r="M36" s="15">
        <v>30</v>
      </c>
      <c r="N36" s="15">
        <f>18*30</f>
        <v>540</v>
      </c>
      <c r="O36" s="38"/>
      <c r="P36" s="39"/>
      <c r="Q36" s="39"/>
      <c r="R36" s="39"/>
      <c r="S36" s="39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</row>
    <row r="37" customFormat="1" ht="22.5" customHeight="1" spans="1:63">
      <c r="A37" s="21"/>
      <c r="B37" s="15"/>
      <c r="C37" s="15"/>
      <c r="D37" s="15">
        <f>SUM(D3:D36)</f>
        <v>976</v>
      </c>
      <c r="E37" s="15">
        <f>SUM(E3:E36)</f>
        <v>126</v>
      </c>
      <c r="F37" s="15"/>
      <c r="G37" s="16" t="e">
        <f>SUM(G3:G36)</f>
        <v>#VALUE!</v>
      </c>
      <c r="H37" s="17">
        <f>SUM(H3:H36)</f>
        <v>21590</v>
      </c>
      <c r="I37" s="15"/>
      <c r="J37" s="15"/>
      <c r="K37" s="15" t="s">
        <v>226</v>
      </c>
      <c r="L37" s="15" t="s">
        <v>227</v>
      </c>
      <c r="M37" s="15"/>
      <c r="N37" s="15"/>
      <c r="O37" s="56"/>
      <c r="P37" s="56"/>
      <c r="Q37" s="56"/>
      <c r="R37" s="56"/>
      <c r="S37" s="56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</row>
    <row r="38" spans="1:63">
      <c r="A38" s="29"/>
      <c r="B38" s="30"/>
      <c r="C38" s="30"/>
      <c r="D38" s="30"/>
      <c r="E38" s="30"/>
      <c r="F38" s="30"/>
      <c r="G38" s="31"/>
      <c r="H38" s="30"/>
      <c r="I38" s="30"/>
      <c r="J38" s="30"/>
      <c r="K38" s="30"/>
      <c r="L38" s="30"/>
      <c r="M38" s="30"/>
      <c r="N38" s="30"/>
    </row>
    <row r="39" spans="1:63">
      <c r="G39" s="32"/>
    </row>
    <row r="40" spans="1:63">
      <c r="G40" s="32"/>
    </row>
    <row r="41" spans="1:63">
      <c r="G41" s="32"/>
    </row>
    <row r="42" spans="1:63">
      <c r="G42" s="32"/>
    </row>
    <row r="43" spans="1:63">
      <c r="G43" s="32"/>
    </row>
    <row r="44" spans="1:63">
      <c r="G44" s="32"/>
    </row>
    <row r="45" spans="1:63">
      <c r="G45" s="32"/>
    </row>
    <row r="46" spans="1:63">
      <c r="G46" s="32"/>
    </row>
    <row r="47" spans="1:63">
      <c r="G47" s="32"/>
    </row>
    <row r="48" spans="1:63">
      <c r="G48" s="32"/>
    </row>
    <row r="49" spans="7:7">
      <c r="G49" s="32"/>
    </row>
    <row r="50" spans="7:7">
      <c r="G50" s="32"/>
    </row>
    <row r="51" spans="7:7">
      <c r="G51" s="32"/>
    </row>
    <row r="52" spans="7:7">
      <c r="G52" s="32"/>
    </row>
    <row r="53" spans="7:7">
      <c r="G53" s="32"/>
    </row>
    <row r="54" spans="7:7">
      <c r="G54" s="32"/>
    </row>
    <row r="55" spans="7:7">
      <c r="G55" s="32"/>
    </row>
    <row r="56" spans="7:7">
      <c r="G56" s="32"/>
    </row>
    <row r="57" spans="7:7">
      <c r="G57" s="32"/>
    </row>
    <row r="58" spans="7:7">
      <c r="G58" s="32"/>
    </row>
    <row r="59" spans="7:7">
      <c r="G59" s="32"/>
    </row>
    <row r="60" spans="7:7">
      <c r="G60" s="32"/>
    </row>
    <row r="61" spans="7:7">
      <c r="G61" s="32"/>
    </row>
    <row r="62" spans="7:7">
      <c r="G62" s="32"/>
    </row>
    <row r="63" spans="7:7">
      <c r="G63" s="32"/>
    </row>
    <row r="64" spans="7:7">
      <c r="G64" s="32"/>
    </row>
    <row r="65" spans="7:7">
      <c r="G65" s="32"/>
    </row>
    <row r="66" spans="7:7">
      <c r="G66" s="32"/>
    </row>
    <row r="67" spans="7:7">
      <c r="G67" s="32"/>
    </row>
    <row r="68" spans="7:7">
      <c r="G68" s="32"/>
    </row>
    <row r="69" spans="7:7">
      <c r="G69" s="32"/>
    </row>
    <row r="70" spans="7:7">
      <c r="G70" s="32"/>
    </row>
    <row r="71" spans="7:7">
      <c r="G71" s="32"/>
    </row>
    <row r="72" spans="7:7">
      <c r="G72" s="32"/>
    </row>
    <row r="73" spans="7:7">
      <c r="G73" s="32"/>
    </row>
    <row r="74" spans="7:7">
      <c r="G74" s="32"/>
    </row>
    <row r="75" spans="7:7">
      <c r="G75" s="32"/>
    </row>
    <row r="76" spans="7:7">
      <c r="G76" s="32"/>
    </row>
    <row r="77" spans="7:7">
      <c r="G77" s="32"/>
    </row>
    <row r="78" spans="7:7">
      <c r="G78" s="32"/>
    </row>
    <row r="79" spans="7:7">
      <c r="G79" s="32"/>
    </row>
    <row r="80" spans="7:7">
      <c r="G80" s="32"/>
    </row>
    <row r="81" spans="7:7">
      <c r="G81" s="32"/>
    </row>
    <row r="82" spans="7:7">
      <c r="G82" s="32"/>
    </row>
    <row r="83" spans="7:7">
      <c r="G83" s="32"/>
    </row>
    <row r="84" spans="7:7">
      <c r="G84" s="32"/>
    </row>
    <row r="85" spans="7:7">
      <c r="G85" s="32"/>
    </row>
    <row r="86" spans="7:7">
      <c r="G86" s="32"/>
    </row>
    <row r="87" spans="7:7">
      <c r="G87" s="32"/>
    </row>
    <row r="88" spans="7:7">
      <c r="G88" s="32"/>
    </row>
    <row r="89" spans="7:7">
      <c r="G89" s="32"/>
    </row>
    <row r="90" spans="7:7">
      <c r="G90" s="32"/>
    </row>
    <row r="91" spans="7:7">
      <c r="G91" s="32"/>
    </row>
    <row r="92" spans="7:7">
      <c r="G92" s="32"/>
    </row>
    <row r="93" spans="7:7">
      <c r="G93" s="32"/>
    </row>
    <row r="94" spans="7:7">
      <c r="G94" s="32"/>
    </row>
    <row r="95" spans="7:7">
      <c r="G95" s="32"/>
    </row>
    <row r="96" spans="7:7">
      <c r="G96" s="32"/>
    </row>
    <row r="97" spans="7:7">
      <c r="G97" s="32"/>
    </row>
    <row r="98" spans="7:7">
      <c r="G98" s="32"/>
    </row>
    <row r="99" spans="7:7">
      <c r="G99" s="32"/>
    </row>
    <row r="100" spans="7:7">
      <c r="G100" s="32"/>
    </row>
    <row r="101" spans="7:7">
      <c r="G101" s="32"/>
    </row>
    <row r="102" spans="7:7">
      <c r="G102" s="32"/>
    </row>
    <row r="103" spans="7:7">
      <c r="G103" s="32"/>
    </row>
    <row r="104" spans="7:7">
      <c r="G104" s="32"/>
    </row>
    <row r="105" spans="7:7">
      <c r="G105" s="32"/>
    </row>
    <row r="106" spans="7:7">
      <c r="G106" s="32"/>
    </row>
    <row r="107" spans="7:7">
      <c r="G107" s="32"/>
    </row>
    <row r="108" spans="7:7">
      <c r="G108" s="32"/>
    </row>
    <row r="109" spans="7:7">
      <c r="G109" s="32"/>
    </row>
    <row r="110" spans="7:7">
      <c r="G110" s="32"/>
    </row>
    <row r="111" spans="7:7">
      <c r="G111" s="32"/>
    </row>
    <row r="112" spans="7:7">
      <c r="G112" s="32"/>
    </row>
    <row r="113" spans="7:7">
      <c r="G113" s="32"/>
    </row>
    <row r="114" spans="7:7">
      <c r="G114" s="32"/>
    </row>
    <row r="115" spans="7:7">
      <c r="G115" s="32"/>
    </row>
    <row r="116" spans="7:7">
      <c r="G116" s="32"/>
    </row>
    <row r="117" spans="7:7">
      <c r="G117" s="32"/>
    </row>
  </sheetData>
  <mergeCells count="1">
    <mergeCell ref="A1:N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12"/>
  <sheetViews>
    <sheetView tabSelected="1" workbookViewId="0">
      <selection activeCell="N18" sqref="N18:N19"/>
    </sheetView>
  </sheetViews>
  <sheetFormatPr defaultColWidth="8.725" defaultRowHeight="13.5"/>
  <cols>
    <col min="1" max="1" width="13.375" style="6" customWidth="1"/>
    <col min="2" max="2" width="10.4666666666667" style="7" customWidth="1"/>
    <col min="3" max="3" width="16.2833333333333" style="7" customWidth="1"/>
    <col min="4" max="5" width="13.0083333333333" style="7" customWidth="1"/>
    <col min="6" max="6" width="13.9166666666667" style="7" customWidth="1"/>
    <col min="7" max="7" width="13.0083333333333" style="8" customWidth="1"/>
    <col min="8" max="10" width="13.0083333333333" style="7" customWidth="1"/>
    <col min="11" max="11" width="11.0083333333333" style="7" customWidth="1"/>
    <col min="12" max="12" width="10.4666666666667" style="7" customWidth="1"/>
    <col min="13" max="13" width="13.0083333333333" style="7" customWidth="1"/>
    <col min="14" max="14" width="15.9166666666667" style="7" customWidth="1"/>
  </cols>
  <sheetData>
    <row r="1" s="1" customFormat="1" ht="28.5" customHeight="1" spans="1:6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="2" customFormat="1" ht="22.5" customHeight="1" spans="1:62">
      <c r="A2" s="10" t="s">
        <v>1</v>
      </c>
      <c r="B2" s="11" t="s">
        <v>2</v>
      </c>
      <c r="C2" s="11" t="s">
        <v>3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2"/>
      <c r="R2" s="13"/>
    </row>
    <row r="3" s="3" customFormat="1" ht="22.5" customHeight="1" spans="1:62">
      <c r="A3" s="14">
        <v>5.5</v>
      </c>
      <c r="B3" s="15" t="s">
        <v>154</v>
      </c>
      <c r="C3" s="15" t="s">
        <v>85</v>
      </c>
      <c r="D3" s="15">
        <v>38</v>
      </c>
      <c r="E3" s="15">
        <v>5</v>
      </c>
      <c r="F3" s="15">
        <v>30</v>
      </c>
      <c r="G3" s="16">
        <v>1140</v>
      </c>
      <c r="H3" s="17">
        <v>1140</v>
      </c>
      <c r="I3" s="15"/>
      <c r="J3" s="15">
        <v>5.9</v>
      </c>
      <c r="K3" s="15" t="s">
        <v>92</v>
      </c>
      <c r="L3" s="15">
        <v>305</v>
      </c>
      <c r="M3" s="15"/>
      <c r="N3" s="15"/>
      <c r="O3" s="18"/>
    </row>
    <row r="4" s="4" customFormat="1" ht="22.5" customHeight="1" spans="1:62">
      <c r="A4" s="14">
        <v>5.6</v>
      </c>
      <c r="B4" s="15" t="s">
        <v>209</v>
      </c>
      <c r="C4" s="15" t="s">
        <v>85</v>
      </c>
      <c r="D4" s="15">
        <v>23</v>
      </c>
      <c r="E4" s="15">
        <v>5</v>
      </c>
      <c r="F4" s="15">
        <v>30</v>
      </c>
      <c r="G4" s="16">
        <f>SUM(D4*F4)</f>
        <v>690</v>
      </c>
      <c r="H4" s="17">
        <v>690</v>
      </c>
      <c r="I4" s="15"/>
      <c r="J4" s="15">
        <v>5.12</v>
      </c>
      <c r="K4" s="15" t="s">
        <v>92</v>
      </c>
      <c r="L4" s="15">
        <v>450</v>
      </c>
      <c r="M4" s="15"/>
      <c r="N4" s="15"/>
      <c r="O4" s="1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="5" customFormat="1" ht="22.5" customHeight="1" spans="1:62">
      <c r="A5" s="14">
        <v>5.6</v>
      </c>
      <c r="B5" s="15" t="s">
        <v>208</v>
      </c>
      <c r="C5" s="15" t="s">
        <v>85</v>
      </c>
      <c r="D5" s="15">
        <v>30</v>
      </c>
      <c r="E5" s="15">
        <v>4</v>
      </c>
      <c r="F5" s="15">
        <v>30</v>
      </c>
      <c r="G5" s="16">
        <f>SUM(D5*F5)</f>
        <v>900</v>
      </c>
      <c r="H5" s="17">
        <v>900</v>
      </c>
      <c r="I5" s="15"/>
      <c r="J5" s="15">
        <v>5.22</v>
      </c>
      <c r="K5" s="15" t="s">
        <v>92</v>
      </c>
      <c r="L5" s="15">
        <v>368</v>
      </c>
      <c r="M5" s="15"/>
      <c r="N5" s="15"/>
      <c r="O5" s="1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="4" customFormat="1" ht="22.5" customHeight="1" spans="1:62">
      <c r="A6" s="14">
        <v>5.6</v>
      </c>
      <c r="B6" s="15" t="s">
        <v>84</v>
      </c>
      <c r="C6" s="15" t="s">
        <v>85</v>
      </c>
      <c r="D6" s="15">
        <v>31</v>
      </c>
      <c r="E6" s="15">
        <v>5</v>
      </c>
      <c r="F6" s="15">
        <v>30</v>
      </c>
      <c r="G6" s="16">
        <f>SUM(D6*F6)</f>
        <v>930</v>
      </c>
      <c r="H6" s="17">
        <v>930</v>
      </c>
      <c r="I6" s="15"/>
      <c r="J6" s="15">
        <v>5.22</v>
      </c>
      <c r="K6" s="15" t="s">
        <v>228</v>
      </c>
      <c r="L6" s="15">
        <v>230</v>
      </c>
      <c r="M6" s="15"/>
      <c r="N6" s="15"/>
      <c r="O6" s="18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="4" customFormat="1" ht="22.5" customHeight="1" spans="1:62">
      <c r="A7" s="14">
        <v>5.8</v>
      </c>
      <c r="B7" s="15" t="s">
        <v>197</v>
      </c>
      <c r="C7" s="15" t="s">
        <v>229</v>
      </c>
      <c r="D7" s="15">
        <v>55</v>
      </c>
      <c r="E7" s="15">
        <v>4</v>
      </c>
      <c r="F7" s="15">
        <v>25</v>
      </c>
      <c r="G7" s="16">
        <v>1380</v>
      </c>
      <c r="H7" s="17">
        <v>1380</v>
      </c>
      <c r="I7" s="15"/>
      <c r="J7" s="15"/>
      <c r="K7" s="15"/>
      <c r="L7" s="15"/>
      <c r="M7" s="15"/>
      <c r="N7" s="15"/>
      <c r="O7" s="18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="5" customFormat="1" ht="22.5" customHeight="1" spans="1:62">
      <c r="A8" s="14">
        <v>5.12</v>
      </c>
      <c r="B8" s="15" t="s">
        <v>80</v>
      </c>
      <c r="C8" s="15" t="s">
        <v>81</v>
      </c>
      <c r="D8" s="15">
        <v>40</v>
      </c>
      <c r="E8" s="15">
        <v>5</v>
      </c>
      <c r="F8" s="15">
        <v>25</v>
      </c>
      <c r="G8" s="16">
        <f t="shared" ref="G8:G13" si="0">SUM(D8*F8)</f>
        <v>1000</v>
      </c>
      <c r="H8" s="17">
        <v>1000</v>
      </c>
      <c r="I8" s="15"/>
      <c r="J8" s="15"/>
      <c r="K8" s="15"/>
      <c r="L8" s="15"/>
      <c r="M8" s="15"/>
      <c r="N8" s="15"/>
      <c r="O8" s="1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="5" customFormat="1" ht="22.5" customHeight="1" spans="1:62">
      <c r="A9" s="14">
        <v>5.12</v>
      </c>
      <c r="B9" s="15" t="s">
        <v>39</v>
      </c>
      <c r="C9" s="15" t="s">
        <v>101</v>
      </c>
      <c r="D9" s="15">
        <v>58</v>
      </c>
      <c r="E9" s="15">
        <v>1</v>
      </c>
      <c r="F9" s="15">
        <v>20</v>
      </c>
      <c r="G9" s="16">
        <f t="shared" si="0"/>
        <v>1160</v>
      </c>
      <c r="H9" s="17" t="s">
        <v>21</v>
      </c>
      <c r="I9" s="15"/>
      <c r="J9" s="15" t="s">
        <v>177</v>
      </c>
      <c r="K9" s="15" t="s">
        <v>216</v>
      </c>
      <c r="L9" s="15" t="s">
        <v>195</v>
      </c>
      <c r="M9" s="15" t="s">
        <v>230</v>
      </c>
      <c r="N9" s="15" t="s">
        <v>231</v>
      </c>
      <c r="O9" s="18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="4" customFormat="1" ht="22.5" customHeight="1" spans="1:62">
      <c r="A10" s="14">
        <v>5.12</v>
      </c>
      <c r="B10" s="15" t="s">
        <v>121</v>
      </c>
      <c r="C10" s="15" t="s">
        <v>118</v>
      </c>
      <c r="D10" s="15">
        <v>45</v>
      </c>
      <c r="E10" s="15">
        <v>21</v>
      </c>
      <c r="F10" s="15">
        <v>30</v>
      </c>
      <c r="G10" s="16">
        <f t="shared" si="0"/>
        <v>1350</v>
      </c>
      <c r="H10" s="17">
        <v>1350</v>
      </c>
      <c r="I10" s="15"/>
      <c r="J10" s="15">
        <v>13100</v>
      </c>
      <c r="K10" s="15">
        <v>1353</v>
      </c>
      <c r="L10" s="15">
        <v>5873</v>
      </c>
      <c r="M10" s="15">
        <v>2320</v>
      </c>
      <c r="N10" s="15">
        <v>3553</v>
      </c>
      <c r="O10" s="18"/>
      <c r="P10" s="3"/>
      <c r="Q10" s="20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="5" customFormat="1" ht="22.5" customHeight="1" spans="1:62">
      <c r="A11" s="21">
        <v>5.12</v>
      </c>
      <c r="B11" s="15" t="s">
        <v>232</v>
      </c>
      <c r="C11" s="15" t="s">
        <v>118</v>
      </c>
      <c r="D11" s="15">
        <v>21</v>
      </c>
      <c r="E11" s="15">
        <v>6</v>
      </c>
      <c r="F11" s="15">
        <v>30</v>
      </c>
      <c r="G11" s="16">
        <f t="shared" si="0"/>
        <v>630</v>
      </c>
      <c r="H11" s="17">
        <v>639</v>
      </c>
      <c r="I11" s="15"/>
      <c r="J11" s="15"/>
      <c r="K11" s="15"/>
      <c r="L11" s="15"/>
      <c r="M11" s="15"/>
      <c r="N11" s="15"/>
      <c r="O11" s="18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="4" customFormat="1" ht="22.5" customHeight="1" spans="1:62">
      <c r="A12" s="21">
        <v>5.12</v>
      </c>
      <c r="B12" s="15" t="s">
        <v>76</v>
      </c>
      <c r="C12" s="15" t="s">
        <v>118</v>
      </c>
      <c r="D12" s="15">
        <v>10</v>
      </c>
      <c r="E12" s="15">
        <v>5</v>
      </c>
      <c r="F12" s="15">
        <v>30</v>
      </c>
      <c r="G12" s="16">
        <f t="shared" si="0"/>
        <v>300</v>
      </c>
      <c r="H12" s="17">
        <v>300</v>
      </c>
      <c r="I12" s="15"/>
      <c r="J12" s="15"/>
      <c r="K12" s="15"/>
      <c r="L12" s="15"/>
      <c r="M12" s="15"/>
      <c r="N12" s="15"/>
      <c r="O12" s="18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="4" customFormat="1" ht="22.5" customHeight="1" spans="1:62">
      <c r="A13" s="21">
        <v>5.12</v>
      </c>
      <c r="B13" s="15" t="s">
        <v>91</v>
      </c>
      <c r="C13" s="15" t="s">
        <v>85</v>
      </c>
      <c r="D13" s="15">
        <v>30</v>
      </c>
      <c r="E13" s="15">
        <v>5</v>
      </c>
      <c r="F13" s="15">
        <v>30</v>
      </c>
      <c r="G13" s="16">
        <f t="shared" si="0"/>
        <v>900</v>
      </c>
      <c r="H13" s="17">
        <v>900</v>
      </c>
      <c r="I13" s="15"/>
      <c r="J13" s="15"/>
      <c r="K13" s="15"/>
      <c r="L13" s="15"/>
      <c r="M13" s="15"/>
      <c r="N13" s="15"/>
      <c r="O13" s="1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="5" customFormat="1" ht="22.5" customHeight="1" spans="1:62">
      <c r="A14" s="21">
        <v>5.21</v>
      </c>
      <c r="B14" s="15" t="s">
        <v>233</v>
      </c>
      <c r="C14" s="15" t="s">
        <v>85</v>
      </c>
      <c r="D14" s="15">
        <v>21</v>
      </c>
      <c r="E14" s="15">
        <v>5</v>
      </c>
      <c r="F14" s="15">
        <v>30</v>
      </c>
      <c r="G14" s="16">
        <f t="shared" ref="G14:G32" si="1">SUM(D14*F14)</f>
        <v>630</v>
      </c>
      <c r="H14" s="17">
        <v>630</v>
      </c>
      <c r="I14" s="15"/>
      <c r="J14" s="15"/>
      <c r="K14" s="15"/>
      <c r="L14" s="15"/>
      <c r="M14" s="15"/>
      <c r="N14" s="15"/>
      <c r="O14" s="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="4" customFormat="1" ht="22.5" customHeight="1" spans="1:62">
      <c r="A15" s="21">
        <v>5.21</v>
      </c>
      <c r="B15" s="15" t="s">
        <v>84</v>
      </c>
      <c r="C15" s="15" t="s">
        <v>85</v>
      </c>
      <c r="D15" s="15">
        <v>31</v>
      </c>
      <c r="E15" s="15">
        <v>4</v>
      </c>
      <c r="F15" s="15">
        <v>30</v>
      </c>
      <c r="G15" s="16">
        <f t="shared" si="1"/>
        <v>930</v>
      </c>
      <c r="H15" s="17">
        <v>930</v>
      </c>
      <c r="I15" s="15"/>
      <c r="J15" s="15"/>
      <c r="K15" s="15"/>
      <c r="L15" s="15"/>
      <c r="M15" s="15"/>
      <c r="N15" s="15"/>
      <c r="O15" s="18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="5" customFormat="1" ht="22.5" customHeight="1" spans="1:62">
      <c r="A16" s="21">
        <v>5.23</v>
      </c>
      <c r="B16" s="15" t="s">
        <v>39</v>
      </c>
      <c r="C16" s="15" t="s">
        <v>101</v>
      </c>
      <c r="D16" s="15">
        <v>58</v>
      </c>
      <c r="E16" s="15">
        <v>1</v>
      </c>
      <c r="F16" s="15">
        <v>20</v>
      </c>
      <c r="G16" s="16">
        <f t="shared" si="1"/>
        <v>1160</v>
      </c>
      <c r="H16" s="17" t="s">
        <v>21</v>
      </c>
      <c r="I16" s="15"/>
      <c r="J16" s="15"/>
      <c r="K16" s="15"/>
      <c r="L16" s="15"/>
      <c r="M16" s="15"/>
      <c r="N16" s="15"/>
      <c r="O16" s="18"/>
      <c r="P16" s="3"/>
      <c r="Q16" s="20"/>
      <c r="R16" s="3"/>
      <c r="S16" s="22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="5" customFormat="1" ht="22.5" customHeight="1" spans="1:62">
      <c r="A17" s="21"/>
      <c r="B17" s="15"/>
      <c r="C17" s="15"/>
      <c r="D17" s="15"/>
      <c r="E17" s="15"/>
      <c r="F17" s="15"/>
      <c r="G17" s="16">
        <f t="shared" si="1"/>
        <v>0</v>
      </c>
      <c r="H17" s="17"/>
      <c r="I17" s="15"/>
      <c r="J17" s="15"/>
      <c r="K17" s="15"/>
      <c r="L17" s="15"/>
      <c r="M17" s="15"/>
      <c r="N17" s="15"/>
      <c r="O17" s="18"/>
      <c r="P17" s="3"/>
      <c r="Q17" s="23"/>
      <c r="R17" s="3"/>
      <c r="S17" s="24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="5" customFormat="1" ht="22.5" customHeight="1" spans="1:62">
      <c r="A18" s="21"/>
      <c r="B18" s="15"/>
      <c r="C18" s="15"/>
      <c r="D18" s="15"/>
      <c r="E18" s="15"/>
      <c r="F18" s="15"/>
      <c r="G18" s="16">
        <f t="shared" si="1"/>
        <v>0</v>
      </c>
      <c r="H18" s="17"/>
      <c r="I18" s="15"/>
      <c r="J18" s="15"/>
      <c r="K18" s="15"/>
      <c r="L18" s="15"/>
      <c r="M18" s="15"/>
      <c r="N18" s="15"/>
      <c r="O18" s="18"/>
      <c r="P18" s="3"/>
      <c r="Q18" s="23"/>
      <c r="R18" s="3"/>
      <c r="S18" s="2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="5" customFormat="1" ht="22.5" customHeight="1" spans="1:62">
      <c r="A19" s="21"/>
      <c r="B19" s="15"/>
      <c r="C19" s="15"/>
      <c r="D19" s="15"/>
      <c r="E19" s="15"/>
      <c r="F19" s="15"/>
      <c r="G19" s="16">
        <f t="shared" si="1"/>
        <v>0</v>
      </c>
      <c r="H19" s="17"/>
      <c r="I19" s="15"/>
      <c r="J19" s="15"/>
      <c r="K19" s="15"/>
      <c r="L19" s="15"/>
      <c r="M19" s="15"/>
      <c r="N19" s="15"/>
      <c r="O19" s="18"/>
      <c r="P19" s="3"/>
      <c r="Q19" s="23"/>
      <c r="R19" s="3"/>
      <c r="S19" s="2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="4" customFormat="1" ht="22.5" customHeight="1" spans="1:62">
      <c r="A20" s="21"/>
      <c r="B20" s="15"/>
      <c r="C20" s="15"/>
      <c r="D20" s="15"/>
      <c r="E20" s="15"/>
      <c r="F20" s="15"/>
      <c r="G20" s="16">
        <f t="shared" si="1"/>
        <v>0</v>
      </c>
      <c r="H20" s="17"/>
      <c r="I20" s="15"/>
      <c r="J20" s="15"/>
      <c r="K20" s="15"/>
      <c r="L20" s="15"/>
      <c r="M20" s="15"/>
      <c r="N20" s="15"/>
      <c r="O20" s="18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="5" customFormat="1" ht="22.5" customHeight="1" spans="1:62">
      <c r="A21" s="21"/>
      <c r="B21" s="15"/>
      <c r="C21" s="15"/>
      <c r="D21" s="15"/>
      <c r="E21" s="15"/>
      <c r="F21" s="15"/>
      <c r="G21" s="16">
        <f t="shared" si="1"/>
        <v>0</v>
      </c>
      <c r="H21" s="17"/>
      <c r="I21" s="15"/>
      <c r="J21" s="25"/>
      <c r="K21" s="15"/>
      <c r="L21" s="15"/>
      <c r="M21" s="15"/>
      <c r="N21" s="15"/>
      <c r="O21" s="18"/>
      <c r="P21" s="26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="4" customFormat="1" ht="22.5" customHeight="1" spans="1:62">
      <c r="A22" s="27"/>
      <c r="B22" s="15"/>
      <c r="C22" s="15"/>
      <c r="D22" s="15"/>
      <c r="E22" s="15"/>
      <c r="F22" s="15"/>
      <c r="G22" s="16">
        <f t="shared" si="1"/>
        <v>0</v>
      </c>
      <c r="H22" s="17"/>
      <c r="I22" s="15"/>
      <c r="J22" s="15"/>
      <c r="K22" s="15"/>
      <c r="L22" s="15"/>
      <c r="M22" s="15"/>
      <c r="N22" s="15"/>
      <c r="O22" s="18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="5" customFormat="1" ht="22.5" customHeight="1" spans="1:62">
      <c r="A23" s="21"/>
      <c r="B23" s="15"/>
      <c r="C23" s="15"/>
      <c r="D23" s="15"/>
      <c r="E23" s="15"/>
      <c r="F23" s="15"/>
      <c r="G23" s="16">
        <f t="shared" si="1"/>
        <v>0</v>
      </c>
      <c r="H23" s="17"/>
      <c r="I23" s="15"/>
      <c r="J23" s="15"/>
      <c r="K23" s="15"/>
      <c r="L23" s="15"/>
      <c r="M23" s="15"/>
      <c r="N23" s="15"/>
      <c r="O23" s="1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="4" customFormat="1" ht="22.5" customHeight="1" spans="1:62">
      <c r="A24" s="21"/>
      <c r="B24" s="15"/>
      <c r="C24" s="15"/>
      <c r="D24" s="15"/>
      <c r="E24" s="15"/>
      <c r="F24" s="15"/>
      <c r="G24" s="16">
        <f t="shared" si="1"/>
        <v>0</v>
      </c>
      <c r="H24" s="17"/>
      <c r="I24" s="15"/>
      <c r="J24" s="15"/>
      <c r="K24" s="15"/>
      <c r="L24" s="15"/>
      <c r="M24" s="15"/>
      <c r="N24" s="15"/>
      <c r="O24" s="18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="5" customFormat="1" ht="22.5" customHeight="1" spans="1:62">
      <c r="A25" s="21"/>
      <c r="B25" s="15"/>
      <c r="C25" s="15"/>
      <c r="D25" s="15"/>
      <c r="E25" s="15"/>
      <c r="F25" s="15"/>
      <c r="G25" s="16">
        <f t="shared" si="1"/>
        <v>0</v>
      </c>
      <c r="H25" s="17"/>
      <c r="I25" s="15"/>
      <c r="J25" s="15"/>
      <c r="K25" s="15"/>
      <c r="L25" s="15"/>
      <c r="M25" s="15"/>
      <c r="N25" s="15"/>
      <c r="O25" s="18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="4" customFormat="1" ht="22.5" customHeight="1" spans="1:62">
      <c r="A26" s="21"/>
      <c r="B26" s="15"/>
      <c r="C26" s="15"/>
      <c r="D26" s="15"/>
      <c r="E26" s="15"/>
      <c r="F26" s="15"/>
      <c r="G26" s="16">
        <f t="shared" si="1"/>
        <v>0</v>
      </c>
      <c r="H26" s="17"/>
      <c r="I26" s="15"/>
      <c r="J26" s="15"/>
      <c r="K26" s="15"/>
      <c r="L26" s="15"/>
      <c r="M26" s="15"/>
      <c r="N26" s="15"/>
      <c r="O26" s="1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="5" customFormat="1" ht="22.5" customHeight="1" spans="1:62">
      <c r="A27" s="21"/>
      <c r="B27" s="15"/>
      <c r="C27" s="15"/>
      <c r="D27" s="15"/>
      <c r="E27" s="15"/>
      <c r="F27" s="15"/>
      <c r="G27" s="16">
        <f t="shared" si="1"/>
        <v>0</v>
      </c>
      <c r="H27" s="17"/>
      <c r="I27" s="15"/>
      <c r="J27" s="15"/>
      <c r="K27" s="15"/>
      <c r="L27" s="15"/>
      <c r="M27" s="15"/>
      <c r="N27" s="15"/>
      <c r="O27" s="18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="4" customFormat="1" ht="22.5" customHeight="1" spans="1:62">
      <c r="A28" s="21"/>
      <c r="B28" s="15"/>
      <c r="C28" s="15"/>
      <c r="D28" s="15"/>
      <c r="E28" s="15"/>
      <c r="F28" s="15"/>
      <c r="G28" s="16">
        <f t="shared" si="1"/>
        <v>0</v>
      </c>
      <c r="H28" s="17"/>
      <c r="I28" s="15"/>
      <c r="J28" s="15"/>
      <c r="K28" s="15"/>
      <c r="L28" s="15"/>
      <c r="M28" s="15"/>
      <c r="N28" s="15"/>
      <c r="O28" s="1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="5" customFormat="1" ht="22.5" customHeight="1" spans="1:62">
      <c r="A29" s="21"/>
      <c r="B29" s="15"/>
      <c r="C29" s="15"/>
      <c r="D29" s="15"/>
      <c r="E29" s="15"/>
      <c r="F29" s="15"/>
      <c r="G29" s="16">
        <f t="shared" si="1"/>
        <v>0</v>
      </c>
      <c r="H29" s="17"/>
      <c r="I29" s="15"/>
      <c r="J29" s="15"/>
      <c r="K29" s="15"/>
      <c r="L29" s="15"/>
      <c r="M29" s="15"/>
      <c r="N29" s="15"/>
      <c r="O29" s="1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="4" customFormat="1" ht="22.5" customHeight="1" spans="1:62">
      <c r="A30" s="21"/>
      <c r="B30" s="15"/>
      <c r="C30" s="15"/>
      <c r="D30" s="15"/>
      <c r="E30" s="15"/>
      <c r="F30" s="15"/>
      <c r="G30" s="16">
        <f t="shared" si="1"/>
        <v>0</v>
      </c>
      <c r="H30" s="17"/>
      <c r="I30" s="15"/>
      <c r="J30" s="15"/>
      <c r="K30" s="15"/>
      <c r="L30" s="15"/>
      <c r="M30" s="15"/>
      <c r="N30" s="15"/>
      <c r="O30" s="1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="5" customFormat="1" ht="22.5" customHeight="1" spans="1:62">
      <c r="A31" s="21"/>
      <c r="B31" s="15"/>
      <c r="C31" s="15"/>
      <c r="D31" s="15"/>
      <c r="E31" s="15"/>
      <c r="F31" s="15"/>
      <c r="G31" s="16">
        <f t="shared" si="1"/>
        <v>0</v>
      </c>
      <c r="H31" s="17"/>
      <c r="I31" s="15"/>
      <c r="J31" s="15"/>
      <c r="K31" s="15"/>
      <c r="L31" s="15"/>
      <c r="M31" s="15"/>
      <c r="N31" s="15"/>
      <c r="O31" s="1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customFormat="1" ht="22.5" customHeight="1" spans="1:62">
      <c r="A32" s="21"/>
      <c r="B32" s="15"/>
      <c r="C32" s="15"/>
      <c r="D32" s="15">
        <f>SUM(D3:D31)</f>
        <v>491</v>
      </c>
      <c r="E32" s="15">
        <f>SUM(E3:E31)</f>
        <v>76</v>
      </c>
      <c r="F32" s="15"/>
      <c r="G32" s="16">
        <f t="shared" si="1"/>
        <v>0</v>
      </c>
      <c r="H32" s="17">
        <f>SUM(H3:H31)</f>
        <v>10789</v>
      </c>
      <c r="I32" s="15"/>
      <c r="J32" s="15"/>
      <c r="K32" s="15"/>
      <c r="L32" s="15"/>
      <c r="M32" s="15"/>
      <c r="N32" s="15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</row>
    <row r="33" spans="1:14">
      <c r="A33" s="29"/>
      <c r="B33" s="30"/>
      <c r="C33" s="30"/>
      <c r="D33" s="30"/>
      <c r="E33" s="30"/>
      <c r="F33" s="30"/>
      <c r="G33" s="31"/>
      <c r="H33" s="30"/>
      <c r="I33" s="30"/>
      <c r="J33" s="30"/>
      <c r="K33" s="30"/>
      <c r="L33" s="30"/>
      <c r="M33" s="30"/>
      <c r="N33" s="30"/>
    </row>
    <row r="34" spans="1:14">
      <c r="G34" s="32"/>
    </row>
    <row r="35" spans="1:14">
      <c r="G35" s="32"/>
    </row>
    <row r="36" spans="1:14">
      <c r="G36" s="32"/>
    </row>
    <row r="37" spans="1:14">
      <c r="G37" s="32"/>
    </row>
    <row r="38" spans="1:14">
      <c r="G38" s="32"/>
    </row>
    <row r="39" spans="1:14">
      <c r="G39" s="32"/>
    </row>
    <row r="40" spans="1:14">
      <c r="G40" s="32"/>
    </row>
    <row r="41" spans="1:14">
      <c r="G41" s="32"/>
    </row>
    <row r="42" spans="1:14">
      <c r="G42" s="32"/>
    </row>
    <row r="43" spans="1:14">
      <c r="G43" s="32"/>
    </row>
    <row r="44" spans="1:14">
      <c r="G44" s="32"/>
    </row>
    <row r="45" spans="1:14">
      <c r="G45" s="32"/>
    </row>
    <row r="46" spans="1:14">
      <c r="G46" s="32"/>
    </row>
    <row r="47" spans="1:14">
      <c r="G47" s="32"/>
    </row>
    <row r="48" spans="1:14">
      <c r="G48" s="32"/>
    </row>
    <row r="49" spans="7:7">
      <c r="G49" s="32"/>
    </row>
    <row r="50" spans="7:7">
      <c r="G50" s="32"/>
    </row>
    <row r="51" spans="7:7">
      <c r="G51" s="32"/>
    </row>
    <row r="52" spans="7:7">
      <c r="G52" s="32"/>
    </row>
    <row r="53" spans="7:7">
      <c r="G53" s="32"/>
    </row>
    <row r="54" spans="7:7">
      <c r="G54" s="32"/>
    </row>
    <row r="55" spans="7:7">
      <c r="G55" s="32"/>
    </row>
    <row r="56" spans="7:7">
      <c r="G56" s="32"/>
    </row>
    <row r="57" spans="7:7">
      <c r="G57" s="32"/>
    </row>
    <row r="58" spans="7:7">
      <c r="G58" s="32"/>
    </row>
    <row r="59" spans="7:7">
      <c r="G59" s="32"/>
    </row>
    <row r="60" spans="7:7">
      <c r="G60" s="32"/>
    </row>
    <row r="61" spans="7:7">
      <c r="G61" s="32"/>
    </row>
    <row r="62" spans="7:7">
      <c r="G62" s="32"/>
    </row>
    <row r="63" spans="7:7">
      <c r="G63" s="32"/>
    </row>
    <row r="64" spans="7:7">
      <c r="G64" s="32"/>
    </row>
    <row r="65" spans="7:7">
      <c r="G65" s="32"/>
    </row>
    <row r="66" spans="7:7">
      <c r="G66" s="32"/>
    </row>
    <row r="67" spans="7:7">
      <c r="G67" s="32"/>
    </row>
    <row r="68" spans="7:7">
      <c r="G68" s="32"/>
    </row>
    <row r="69" spans="7:7">
      <c r="G69" s="32"/>
    </row>
    <row r="70" spans="7:7">
      <c r="G70" s="32"/>
    </row>
    <row r="71" spans="7:7">
      <c r="G71" s="32"/>
    </row>
    <row r="72" spans="7:7">
      <c r="G72" s="32"/>
    </row>
    <row r="73" spans="7:7">
      <c r="G73" s="32"/>
    </row>
    <row r="74" spans="7:7">
      <c r="G74" s="32"/>
    </row>
    <row r="75" spans="7:7">
      <c r="G75" s="32"/>
    </row>
    <row r="76" spans="7:7">
      <c r="G76" s="32"/>
    </row>
    <row r="77" spans="7:7">
      <c r="G77" s="32"/>
    </row>
    <row r="78" spans="7:7">
      <c r="G78" s="32"/>
    </row>
    <row r="79" spans="7:7">
      <c r="G79" s="32"/>
    </row>
    <row r="80" spans="7:7">
      <c r="G80" s="32"/>
    </row>
    <row r="81" spans="7:7">
      <c r="G81" s="32"/>
    </row>
    <row r="82" spans="7:7">
      <c r="G82" s="32"/>
    </row>
    <row r="83" spans="7:7">
      <c r="G83" s="32"/>
    </row>
    <row r="84" spans="7:7">
      <c r="G84" s="32"/>
    </row>
    <row r="85" spans="7:7">
      <c r="G85" s="32"/>
    </row>
    <row r="86" spans="7:7">
      <c r="G86" s="32"/>
    </row>
    <row r="87" spans="7:7">
      <c r="G87" s="32"/>
    </row>
    <row r="88" spans="7:7">
      <c r="G88" s="32"/>
    </row>
    <row r="89" spans="7:7">
      <c r="G89" s="32"/>
    </row>
    <row r="90" spans="7:7">
      <c r="G90" s="32"/>
    </row>
    <row r="91" spans="7:7">
      <c r="G91" s="32"/>
    </row>
    <row r="92" spans="7:7">
      <c r="G92" s="32"/>
    </row>
    <row r="93" spans="7:7">
      <c r="G93" s="32"/>
    </row>
    <row r="94" spans="7:7">
      <c r="G94" s="32"/>
    </row>
    <row r="95" spans="7:7">
      <c r="G95" s="32"/>
    </row>
    <row r="96" spans="7:7">
      <c r="G96" s="32"/>
    </row>
    <row r="97" spans="7:7">
      <c r="G97" s="32"/>
    </row>
    <row r="98" spans="7:7">
      <c r="G98" s="32"/>
    </row>
    <row r="99" spans="7:7">
      <c r="G99" s="32"/>
    </row>
    <row r="100" spans="7:7">
      <c r="G100" s="32"/>
    </row>
    <row r="101" spans="7:7">
      <c r="G101" s="32"/>
    </row>
    <row r="102" spans="7:7">
      <c r="G102" s="32"/>
    </row>
    <row r="103" spans="7:7">
      <c r="G103" s="32"/>
    </row>
    <row r="104" spans="7:7">
      <c r="G104" s="32"/>
    </row>
    <row r="105" spans="7:7">
      <c r="G105" s="32"/>
    </row>
    <row r="106" spans="7:7">
      <c r="G106" s="32"/>
    </row>
    <row r="107" spans="7:7">
      <c r="G107" s="32"/>
    </row>
    <row r="108" spans="7:7">
      <c r="G108" s="32"/>
    </row>
    <row r="109" spans="7:7">
      <c r="G109" s="32"/>
    </row>
    <row r="110" spans="7:7">
      <c r="G110" s="32"/>
    </row>
    <row r="111" spans="7:7">
      <c r="G111" s="32"/>
    </row>
    <row r="112" spans="7:7">
      <c r="G112" s="32"/>
    </row>
  </sheetData>
  <mergeCells count="1">
    <mergeCell ref="A1:N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13"/>
  <sheetViews>
    <sheetView workbookViewId="0">
      <selection activeCell="K14" sqref="K14"/>
    </sheetView>
  </sheetViews>
  <sheetFormatPr defaultColWidth="8.725" defaultRowHeight="13.5"/>
  <cols>
    <col min="1" max="1" width="13.375" style="6" customWidth="1"/>
    <col min="2" max="2" width="10.4666666666667" style="7" customWidth="1"/>
    <col min="3" max="3" width="16.2833333333333" style="7" customWidth="1"/>
    <col min="4" max="5" width="13.0083333333333" style="7" customWidth="1"/>
    <col min="6" max="6" width="13.9166666666667" style="7" customWidth="1"/>
    <col min="7" max="7" width="13.0083333333333" style="8" customWidth="1"/>
    <col min="8" max="10" width="13.0083333333333" style="7" customWidth="1"/>
    <col min="11" max="11" width="11.0083333333333" style="7" customWidth="1"/>
    <col min="12" max="12" width="10.4666666666667" style="7" customWidth="1"/>
    <col min="13" max="13" width="13.0083333333333" style="7" customWidth="1"/>
    <col min="14" max="14" width="15.9166666666667" style="7" customWidth="1"/>
  </cols>
  <sheetData>
    <row r="1" s="1" customFormat="1" ht="28.5" customHeight="1" spans="1:6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="2" customFormat="1" ht="22.5" customHeight="1" spans="1:62">
      <c r="A2" s="10" t="s">
        <v>1</v>
      </c>
      <c r="B2" s="11" t="s">
        <v>2</v>
      </c>
      <c r="C2" s="11" t="s">
        <v>3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2"/>
      <c r="R2" s="13"/>
    </row>
    <row r="3" s="3" customFormat="1" ht="22.5" customHeight="1" spans="1:62">
      <c r="A3" s="14"/>
      <c r="B3" s="15"/>
      <c r="C3" s="15"/>
      <c r="D3" s="15"/>
      <c r="E3" s="15"/>
      <c r="F3" s="15"/>
      <c r="G3" s="16">
        <f t="shared" ref="G3:G32" si="0">SUM(D3*F3)</f>
        <v>0</v>
      </c>
      <c r="H3" s="17"/>
      <c r="I3" s="15"/>
      <c r="J3" s="15"/>
      <c r="K3" s="15"/>
      <c r="L3" s="15"/>
      <c r="M3" s="15"/>
      <c r="N3" s="15"/>
      <c r="O3" s="18"/>
    </row>
    <row r="4" s="4" customFormat="1" ht="22.5" customHeight="1" spans="1:62">
      <c r="A4" s="14"/>
      <c r="B4" s="15"/>
      <c r="C4" s="15"/>
      <c r="D4" s="15"/>
      <c r="E4" s="15"/>
      <c r="F4" s="15"/>
      <c r="G4" s="16">
        <f t="shared" si="0"/>
        <v>0</v>
      </c>
      <c r="H4" s="17"/>
      <c r="I4" s="15"/>
      <c r="J4" s="15"/>
      <c r="K4" s="15"/>
      <c r="L4" s="15"/>
      <c r="M4" s="15"/>
      <c r="N4" s="15"/>
      <c r="O4" s="1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="5" customFormat="1" ht="22.5" customHeight="1" spans="1:62">
      <c r="A5" s="14"/>
      <c r="B5" s="15"/>
      <c r="C5" s="15"/>
      <c r="D5" s="15"/>
      <c r="E5" s="15"/>
      <c r="F5" s="15"/>
      <c r="G5" s="16">
        <f t="shared" si="0"/>
        <v>0</v>
      </c>
      <c r="H5" s="17"/>
      <c r="I5" s="15"/>
      <c r="J5" s="15"/>
      <c r="K5" s="15"/>
      <c r="L5" s="15"/>
      <c r="M5" s="15"/>
      <c r="N5" s="15"/>
      <c r="O5" s="1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="4" customFormat="1" ht="22.5" customHeight="1" spans="1:62">
      <c r="A6" s="14"/>
      <c r="B6" s="15"/>
      <c r="C6" s="15"/>
      <c r="D6" s="15"/>
      <c r="E6" s="15"/>
      <c r="F6" s="15"/>
      <c r="G6" s="16">
        <f t="shared" si="0"/>
        <v>0</v>
      </c>
      <c r="H6" s="17"/>
      <c r="I6" s="15"/>
      <c r="J6" s="15"/>
      <c r="K6" s="15"/>
      <c r="L6" s="15"/>
      <c r="M6" s="15"/>
      <c r="N6" s="15"/>
      <c r="O6" s="18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="5" customFormat="1" ht="22.5" customHeight="1" spans="1:62">
      <c r="A7" s="14"/>
      <c r="B7" s="15"/>
      <c r="C7" s="15"/>
      <c r="D7" s="15"/>
      <c r="E7" s="15"/>
      <c r="F7" s="15"/>
      <c r="G7" s="16">
        <f t="shared" si="0"/>
        <v>0</v>
      </c>
      <c r="H7" s="17"/>
      <c r="I7" s="15"/>
      <c r="J7" s="15"/>
      <c r="K7" s="15"/>
      <c r="L7" s="15"/>
      <c r="M7" s="15"/>
      <c r="N7" s="15"/>
      <c r="O7" s="18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="5" customFormat="1" ht="22.5" customHeight="1" spans="1:62">
      <c r="A8" s="14"/>
      <c r="B8" s="15"/>
      <c r="C8" s="15"/>
      <c r="D8" s="15"/>
      <c r="E8" s="15"/>
      <c r="F8" s="15"/>
      <c r="G8" s="16">
        <f t="shared" si="0"/>
        <v>0</v>
      </c>
      <c r="H8" s="17"/>
      <c r="I8" s="15"/>
      <c r="J8" s="15"/>
      <c r="K8" s="19"/>
      <c r="L8" s="15"/>
      <c r="M8" s="15"/>
      <c r="N8" s="15"/>
      <c r="O8" s="1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="4" customFormat="1" ht="22.5" customHeight="1" spans="1:62">
      <c r="A9" s="14"/>
      <c r="B9" s="15"/>
      <c r="C9" s="15"/>
      <c r="D9" s="15"/>
      <c r="E9" s="15"/>
      <c r="F9" s="15"/>
      <c r="G9" s="16">
        <f t="shared" si="0"/>
        <v>0</v>
      </c>
      <c r="H9" s="17"/>
      <c r="I9" s="15"/>
      <c r="J9" s="15"/>
      <c r="K9" s="15"/>
      <c r="L9" s="15"/>
      <c r="M9" s="15"/>
      <c r="N9" s="15"/>
      <c r="O9" s="18"/>
      <c r="P9" s="3"/>
      <c r="Q9" s="20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="5" customFormat="1" ht="22.5" customHeight="1" spans="1:62">
      <c r="A10" s="21"/>
      <c r="B10" s="15"/>
      <c r="C10" s="15"/>
      <c r="D10" s="15"/>
      <c r="E10" s="15"/>
      <c r="F10" s="15"/>
      <c r="G10" s="16">
        <f t="shared" si="0"/>
        <v>0</v>
      </c>
      <c r="H10" s="17"/>
      <c r="I10" s="15"/>
      <c r="J10" s="15"/>
      <c r="K10" s="15"/>
      <c r="L10" s="15"/>
      <c r="M10" s="15"/>
      <c r="N10" s="15"/>
      <c r="O10" s="18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="4" customFormat="1" ht="22.5" customHeight="1" spans="1:62">
      <c r="A11" s="21"/>
      <c r="B11" s="15"/>
      <c r="C11" s="15"/>
      <c r="D11" s="15"/>
      <c r="E11" s="15"/>
      <c r="F11" s="15"/>
      <c r="G11" s="16">
        <f t="shared" si="0"/>
        <v>0</v>
      </c>
      <c r="H11" s="17"/>
      <c r="I11" s="15"/>
      <c r="J11" s="15"/>
      <c r="K11" s="15"/>
      <c r="L11" s="15"/>
      <c r="M11" s="15"/>
      <c r="N11" s="15"/>
      <c r="O11" s="18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="4" customFormat="1" ht="22.5" customHeight="1" spans="1:62">
      <c r="A12" s="21"/>
      <c r="B12" s="15"/>
      <c r="C12" s="15"/>
      <c r="D12" s="15"/>
      <c r="E12" s="15"/>
      <c r="F12" s="15"/>
      <c r="G12" s="16">
        <f t="shared" si="0"/>
        <v>0</v>
      </c>
      <c r="H12" s="17"/>
      <c r="I12" s="15"/>
      <c r="J12" s="15"/>
      <c r="K12" s="19"/>
      <c r="L12" s="15"/>
      <c r="M12" s="15"/>
      <c r="N12" s="15"/>
      <c r="O12" s="18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="4" customFormat="1" ht="22.5" customHeight="1" spans="1:62">
      <c r="A13" s="21"/>
      <c r="B13" s="15"/>
      <c r="C13" s="15"/>
      <c r="D13" s="15"/>
      <c r="E13" s="15"/>
      <c r="F13" s="15"/>
      <c r="G13" s="16">
        <f t="shared" si="0"/>
        <v>0</v>
      </c>
      <c r="H13" s="17"/>
      <c r="I13" s="15"/>
      <c r="J13" s="15"/>
      <c r="K13" s="19"/>
      <c r="L13" s="15"/>
      <c r="M13" s="15"/>
      <c r="N13" s="15"/>
      <c r="O13" s="1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="4" customFormat="1" ht="22.5" customHeight="1" spans="1:62">
      <c r="A14" s="21"/>
      <c r="B14" s="15"/>
      <c r="C14" s="15"/>
      <c r="D14" s="15"/>
      <c r="E14" s="15"/>
      <c r="F14" s="15"/>
      <c r="G14" s="16">
        <f t="shared" si="0"/>
        <v>0</v>
      </c>
      <c r="H14" s="17"/>
      <c r="I14" s="15"/>
      <c r="J14" s="15"/>
      <c r="K14" s="15"/>
      <c r="L14" s="15"/>
      <c r="M14" s="15"/>
      <c r="N14" s="15"/>
      <c r="O14" s="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="5" customFormat="1" ht="22.5" customHeight="1" spans="1:62">
      <c r="A15" s="21"/>
      <c r="B15" s="15"/>
      <c r="C15" s="15"/>
      <c r="D15" s="15"/>
      <c r="E15" s="15"/>
      <c r="F15" s="15"/>
      <c r="G15" s="16">
        <f t="shared" si="0"/>
        <v>0</v>
      </c>
      <c r="H15" s="17"/>
      <c r="I15" s="15"/>
      <c r="J15" s="15"/>
      <c r="K15" s="15"/>
      <c r="L15" s="15"/>
      <c r="M15" s="15"/>
      <c r="N15" s="15"/>
      <c r="O15" s="18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="4" customFormat="1" ht="22.5" customHeight="1" spans="1:62">
      <c r="A16" s="21"/>
      <c r="B16" s="15"/>
      <c r="C16" s="15"/>
      <c r="D16" s="15"/>
      <c r="E16" s="15"/>
      <c r="F16" s="15"/>
      <c r="G16" s="16">
        <f t="shared" si="0"/>
        <v>0</v>
      </c>
      <c r="H16" s="17"/>
      <c r="I16" s="15"/>
      <c r="J16" s="15"/>
      <c r="K16" s="15"/>
      <c r="L16" s="15"/>
      <c r="M16" s="15"/>
      <c r="N16" s="15"/>
      <c r="O16" s="18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="5" customFormat="1" ht="22.5" customHeight="1" spans="1:62">
      <c r="A17" s="21"/>
      <c r="B17" s="15"/>
      <c r="C17" s="15"/>
      <c r="D17" s="15"/>
      <c r="E17" s="15"/>
      <c r="F17" s="15"/>
      <c r="G17" s="16">
        <f t="shared" si="0"/>
        <v>0</v>
      </c>
      <c r="H17" s="17"/>
      <c r="I17" s="15"/>
      <c r="J17" s="15"/>
      <c r="K17" s="15"/>
      <c r="L17" s="15"/>
      <c r="M17" s="15"/>
      <c r="N17" s="15"/>
      <c r="O17" s="18"/>
      <c r="P17" s="3"/>
      <c r="Q17" s="20"/>
      <c r="R17" s="3"/>
      <c r="S17" s="2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="5" customFormat="1" ht="22.5" customHeight="1" spans="1:62">
      <c r="A18" s="21"/>
      <c r="B18" s="15"/>
      <c r="C18" s="15"/>
      <c r="D18" s="15"/>
      <c r="E18" s="15"/>
      <c r="F18" s="15"/>
      <c r="G18" s="16">
        <f t="shared" si="0"/>
        <v>0</v>
      </c>
      <c r="H18" s="17"/>
      <c r="I18" s="15"/>
      <c r="J18" s="15"/>
      <c r="K18" s="15"/>
      <c r="L18" s="15"/>
      <c r="M18" s="15"/>
      <c r="N18" s="15"/>
      <c r="O18" s="18"/>
      <c r="P18" s="3"/>
      <c r="Q18" s="23"/>
      <c r="R18" s="3"/>
      <c r="S18" s="2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="5" customFormat="1" ht="22.5" customHeight="1" spans="1:62">
      <c r="A19" s="21"/>
      <c r="B19" s="15"/>
      <c r="C19" s="15"/>
      <c r="D19" s="15"/>
      <c r="E19" s="15"/>
      <c r="F19" s="15"/>
      <c r="G19" s="16">
        <f t="shared" si="0"/>
        <v>0</v>
      </c>
      <c r="H19" s="17"/>
      <c r="I19" s="15"/>
      <c r="J19" s="15"/>
      <c r="K19" s="15"/>
      <c r="L19" s="15"/>
      <c r="M19" s="15"/>
      <c r="N19" s="15"/>
      <c r="O19" s="18"/>
      <c r="P19" s="3"/>
      <c r="Q19" s="23"/>
      <c r="R19" s="3"/>
      <c r="S19" s="2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="5" customFormat="1" ht="22.5" customHeight="1" spans="1:62">
      <c r="A20" s="21"/>
      <c r="B20" s="15"/>
      <c r="C20" s="15"/>
      <c r="D20" s="15"/>
      <c r="E20" s="15"/>
      <c r="F20" s="15"/>
      <c r="G20" s="16">
        <f t="shared" si="0"/>
        <v>0</v>
      </c>
      <c r="H20" s="17"/>
      <c r="I20" s="15"/>
      <c r="J20" s="15"/>
      <c r="K20" s="15"/>
      <c r="L20" s="15"/>
      <c r="M20" s="15"/>
      <c r="N20" s="15"/>
      <c r="O20" s="18"/>
      <c r="P20" s="3"/>
      <c r="Q20" s="23"/>
      <c r="R20" s="3"/>
      <c r="S20" s="2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="4" customFormat="1" ht="22.5" customHeight="1" spans="1:62">
      <c r="A21" s="21"/>
      <c r="B21" s="15"/>
      <c r="C21" s="15"/>
      <c r="D21" s="15"/>
      <c r="E21" s="15"/>
      <c r="F21" s="15"/>
      <c r="G21" s="16">
        <f t="shared" si="0"/>
        <v>0</v>
      </c>
      <c r="H21" s="17"/>
      <c r="I21" s="15"/>
      <c r="J21" s="15"/>
      <c r="K21" s="15"/>
      <c r="L21" s="15"/>
      <c r="M21" s="15"/>
      <c r="N21" s="15"/>
      <c r="O21" s="18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="5" customFormat="1" ht="22.5" customHeight="1" spans="1:62">
      <c r="A22" s="21"/>
      <c r="B22" s="15"/>
      <c r="C22" s="15"/>
      <c r="D22" s="15"/>
      <c r="E22" s="15"/>
      <c r="F22" s="15"/>
      <c r="G22" s="16">
        <f t="shared" si="0"/>
        <v>0</v>
      </c>
      <c r="H22" s="17"/>
      <c r="I22" s="15"/>
      <c r="J22" s="25"/>
      <c r="K22" s="15"/>
      <c r="L22" s="15"/>
      <c r="M22" s="15"/>
      <c r="N22" s="15"/>
      <c r="O22" s="18"/>
      <c r="P22" s="26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="4" customFormat="1" ht="22.5" customHeight="1" spans="1:62">
      <c r="A23" s="27"/>
      <c r="B23" s="15"/>
      <c r="C23" s="15"/>
      <c r="D23" s="15"/>
      <c r="E23" s="15"/>
      <c r="F23" s="15"/>
      <c r="G23" s="16">
        <f t="shared" si="0"/>
        <v>0</v>
      </c>
      <c r="H23" s="17"/>
      <c r="I23" s="15"/>
      <c r="J23" s="15"/>
      <c r="K23" s="15"/>
      <c r="L23" s="15"/>
      <c r="M23" s="15"/>
      <c r="N23" s="15"/>
      <c r="O23" s="1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="5" customFormat="1" ht="22.5" customHeight="1" spans="1:62">
      <c r="A24" s="21"/>
      <c r="B24" s="15"/>
      <c r="C24" s="15"/>
      <c r="D24" s="15"/>
      <c r="E24" s="15"/>
      <c r="F24" s="15"/>
      <c r="G24" s="16">
        <f t="shared" si="0"/>
        <v>0</v>
      </c>
      <c r="H24" s="17"/>
      <c r="I24" s="15"/>
      <c r="J24" s="15"/>
      <c r="K24" s="15"/>
      <c r="L24" s="15"/>
      <c r="M24" s="15"/>
      <c r="N24" s="15"/>
      <c r="O24" s="18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="4" customFormat="1" ht="22.5" customHeight="1" spans="1:62">
      <c r="A25" s="21"/>
      <c r="B25" s="15"/>
      <c r="C25" s="15"/>
      <c r="D25" s="15"/>
      <c r="E25" s="15"/>
      <c r="F25" s="15"/>
      <c r="G25" s="16">
        <f t="shared" si="0"/>
        <v>0</v>
      </c>
      <c r="H25" s="17"/>
      <c r="I25" s="15"/>
      <c r="J25" s="15"/>
      <c r="K25" s="15"/>
      <c r="L25" s="15"/>
      <c r="M25" s="15"/>
      <c r="N25" s="15"/>
      <c r="O25" s="18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="5" customFormat="1" ht="22.5" customHeight="1" spans="1:62">
      <c r="A26" s="21"/>
      <c r="B26" s="15"/>
      <c r="C26" s="15"/>
      <c r="D26" s="15"/>
      <c r="E26" s="15"/>
      <c r="F26" s="15"/>
      <c r="G26" s="16">
        <f t="shared" si="0"/>
        <v>0</v>
      </c>
      <c r="H26" s="17"/>
      <c r="I26" s="15"/>
      <c r="J26" s="15"/>
      <c r="K26" s="15"/>
      <c r="L26" s="15"/>
      <c r="M26" s="15"/>
      <c r="N26" s="15"/>
      <c r="O26" s="1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="4" customFormat="1" ht="22.5" customHeight="1" spans="1:62">
      <c r="A27" s="21"/>
      <c r="B27" s="15"/>
      <c r="C27" s="15"/>
      <c r="D27" s="15"/>
      <c r="E27" s="15"/>
      <c r="F27" s="15"/>
      <c r="G27" s="16">
        <f t="shared" si="0"/>
        <v>0</v>
      </c>
      <c r="H27" s="17"/>
      <c r="I27" s="15"/>
      <c r="J27" s="15"/>
      <c r="K27" s="15"/>
      <c r="L27" s="15"/>
      <c r="M27" s="15"/>
      <c r="N27" s="15"/>
      <c r="O27" s="18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="5" customFormat="1" ht="22.5" customHeight="1" spans="1:62">
      <c r="A28" s="21"/>
      <c r="B28" s="15"/>
      <c r="C28" s="15"/>
      <c r="D28" s="15"/>
      <c r="E28" s="15"/>
      <c r="F28" s="15"/>
      <c r="G28" s="16">
        <f t="shared" si="0"/>
        <v>0</v>
      </c>
      <c r="H28" s="17"/>
      <c r="I28" s="15"/>
      <c r="J28" s="15"/>
      <c r="K28" s="15"/>
      <c r="L28" s="15"/>
      <c r="M28" s="15"/>
      <c r="N28" s="15"/>
      <c r="O28" s="1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="4" customFormat="1" ht="22.5" customHeight="1" spans="1:62">
      <c r="A29" s="21"/>
      <c r="B29" s="15"/>
      <c r="C29" s="15"/>
      <c r="D29" s="15"/>
      <c r="E29" s="15"/>
      <c r="F29" s="15"/>
      <c r="G29" s="16">
        <f t="shared" si="0"/>
        <v>0</v>
      </c>
      <c r="H29" s="17"/>
      <c r="I29" s="15"/>
      <c r="J29" s="15"/>
      <c r="K29" s="15"/>
      <c r="L29" s="15"/>
      <c r="M29" s="15"/>
      <c r="N29" s="15"/>
      <c r="O29" s="1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="5" customFormat="1" ht="22.5" customHeight="1" spans="1:62">
      <c r="A30" s="21"/>
      <c r="B30" s="15"/>
      <c r="C30" s="15"/>
      <c r="D30" s="15"/>
      <c r="E30" s="15"/>
      <c r="F30" s="15"/>
      <c r="G30" s="16">
        <f t="shared" si="0"/>
        <v>0</v>
      </c>
      <c r="H30" s="17"/>
      <c r="I30" s="15"/>
      <c r="J30" s="15"/>
      <c r="K30" s="15"/>
      <c r="L30" s="15"/>
      <c r="M30" s="15"/>
      <c r="N30" s="15"/>
      <c r="O30" s="1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="4" customFormat="1" ht="22.5" customHeight="1" spans="1:62">
      <c r="A31" s="21"/>
      <c r="B31" s="15"/>
      <c r="C31" s="15"/>
      <c r="D31" s="15"/>
      <c r="E31" s="15"/>
      <c r="F31" s="15"/>
      <c r="G31" s="16">
        <f t="shared" si="0"/>
        <v>0</v>
      </c>
      <c r="H31" s="17"/>
      <c r="I31" s="15"/>
      <c r="J31" s="15"/>
      <c r="K31" s="15"/>
      <c r="L31" s="15"/>
      <c r="M31" s="15"/>
      <c r="N31" s="15"/>
      <c r="O31" s="1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="5" customFormat="1" ht="22.5" customHeight="1" spans="1:62">
      <c r="A32" s="21"/>
      <c r="B32" s="15"/>
      <c r="C32" s="15"/>
      <c r="D32" s="15"/>
      <c r="E32" s="15"/>
      <c r="F32" s="15"/>
      <c r="G32" s="16">
        <f t="shared" si="0"/>
        <v>0</v>
      </c>
      <c r="H32" s="17"/>
      <c r="I32" s="15"/>
      <c r="J32" s="15"/>
      <c r="K32" s="15"/>
      <c r="L32" s="15"/>
      <c r="M32" s="15"/>
      <c r="N32" s="15"/>
      <c r="O32" s="18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customFormat="1" ht="22.5" customHeight="1" spans="1:62">
      <c r="A33" s="21"/>
      <c r="B33" s="15"/>
      <c r="C33" s="15"/>
      <c r="D33" s="15">
        <f>SUM(D3:D32)</f>
        <v>0</v>
      </c>
      <c r="E33" s="15">
        <f>SUM(E3:E32)</f>
        <v>0</v>
      </c>
      <c r="F33" s="15"/>
      <c r="G33" s="16">
        <f>SUM(G3:G32)</f>
        <v>0</v>
      </c>
      <c r="H33" s="17">
        <f>SUM(H3:H32)</f>
        <v>0</v>
      </c>
      <c r="I33" s="15"/>
      <c r="J33" s="15"/>
      <c r="K33" s="15"/>
      <c r="L33" s="15"/>
      <c r="M33" s="15"/>
      <c r="N33" s="15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</row>
    <row r="34" spans="1:62">
      <c r="A34" s="29"/>
      <c r="B34" s="30"/>
      <c r="C34" s="30"/>
      <c r="D34" s="30"/>
      <c r="E34" s="30"/>
      <c r="F34" s="30"/>
      <c r="G34" s="31"/>
      <c r="H34" s="30"/>
      <c r="I34" s="30"/>
      <c r="J34" s="30"/>
      <c r="K34" s="30"/>
      <c r="L34" s="30"/>
      <c r="M34" s="30"/>
      <c r="N34" s="30"/>
    </row>
    <row r="35" spans="1:62">
      <c r="G35" s="32"/>
    </row>
    <row r="36" spans="1:62">
      <c r="G36" s="32"/>
    </row>
    <row r="37" spans="1:62">
      <c r="G37" s="32"/>
    </row>
    <row r="38" spans="1:62">
      <c r="G38" s="32"/>
    </row>
    <row r="39" spans="1:62">
      <c r="G39" s="32"/>
    </row>
    <row r="40" spans="1:62">
      <c r="G40" s="32"/>
    </row>
    <row r="41" spans="1:62">
      <c r="G41" s="32"/>
    </row>
    <row r="42" spans="1:62">
      <c r="G42" s="32"/>
    </row>
    <row r="43" spans="1:62">
      <c r="G43" s="32"/>
    </row>
    <row r="44" spans="1:62">
      <c r="G44" s="32"/>
    </row>
    <row r="45" spans="1:62">
      <c r="G45" s="32"/>
    </row>
    <row r="46" spans="1:62">
      <c r="G46" s="32"/>
    </row>
    <row r="47" spans="1:62">
      <c r="G47" s="32"/>
    </row>
    <row r="48" spans="1:62">
      <c r="G48" s="32"/>
    </row>
    <row r="49" spans="7:7">
      <c r="G49" s="32"/>
    </row>
    <row r="50" spans="7:7">
      <c r="G50" s="32"/>
    </row>
    <row r="51" spans="7:7">
      <c r="G51" s="32"/>
    </row>
    <row r="52" spans="7:7">
      <c r="G52" s="32"/>
    </row>
    <row r="53" spans="7:7">
      <c r="G53" s="32"/>
    </row>
    <row r="54" spans="7:7">
      <c r="G54" s="32"/>
    </row>
    <row r="55" spans="7:7">
      <c r="G55" s="32"/>
    </row>
    <row r="56" spans="7:7">
      <c r="G56" s="32"/>
    </row>
    <row r="57" spans="7:7">
      <c r="G57" s="32"/>
    </row>
    <row r="58" spans="7:7">
      <c r="G58" s="32"/>
    </row>
    <row r="59" spans="7:7">
      <c r="G59" s="32"/>
    </row>
    <row r="60" spans="7:7">
      <c r="G60" s="32"/>
    </row>
    <row r="61" spans="7:7">
      <c r="G61" s="32"/>
    </row>
    <row r="62" spans="7:7">
      <c r="G62" s="32"/>
    </row>
    <row r="63" spans="7:7">
      <c r="G63" s="32"/>
    </row>
    <row r="64" spans="7:7">
      <c r="G64" s="32"/>
    </row>
    <row r="65" spans="7:7">
      <c r="G65" s="32"/>
    </row>
    <row r="66" spans="7:7">
      <c r="G66" s="32"/>
    </row>
    <row r="67" spans="7:7">
      <c r="G67" s="32"/>
    </row>
    <row r="68" spans="7:7">
      <c r="G68" s="32"/>
    </row>
    <row r="69" spans="7:7">
      <c r="G69" s="32"/>
    </row>
    <row r="70" spans="7:7">
      <c r="G70" s="32"/>
    </row>
    <row r="71" spans="7:7">
      <c r="G71" s="32"/>
    </row>
    <row r="72" spans="7:7">
      <c r="G72" s="32"/>
    </row>
    <row r="73" spans="7:7">
      <c r="G73" s="32"/>
    </row>
    <row r="74" spans="7:7">
      <c r="G74" s="32"/>
    </row>
    <row r="75" spans="7:7">
      <c r="G75" s="32"/>
    </row>
    <row r="76" spans="7:7">
      <c r="G76" s="32"/>
    </row>
    <row r="77" spans="7:7">
      <c r="G77" s="32"/>
    </row>
    <row r="78" spans="7:7">
      <c r="G78" s="32"/>
    </row>
    <row r="79" spans="7:7">
      <c r="G79" s="32"/>
    </row>
    <row r="80" spans="7:7">
      <c r="G80" s="32"/>
    </row>
    <row r="81" spans="7:7">
      <c r="G81" s="32"/>
    </row>
    <row r="82" spans="7:7">
      <c r="G82" s="32"/>
    </row>
    <row r="83" spans="7:7">
      <c r="G83" s="32"/>
    </row>
    <row r="84" spans="7:7">
      <c r="G84" s="32"/>
    </row>
    <row r="85" spans="7:7">
      <c r="G85" s="32"/>
    </row>
    <row r="86" spans="7:7">
      <c r="G86" s="32"/>
    </row>
    <row r="87" spans="7:7">
      <c r="G87" s="32"/>
    </row>
    <row r="88" spans="7:7">
      <c r="G88" s="32"/>
    </row>
    <row r="89" spans="7:7">
      <c r="G89" s="32"/>
    </row>
    <row r="90" spans="7:7">
      <c r="G90" s="32"/>
    </row>
    <row r="91" spans="7:7">
      <c r="G91" s="32"/>
    </row>
    <row r="92" spans="7:7">
      <c r="G92" s="32"/>
    </row>
    <row r="93" spans="7:7">
      <c r="G93" s="32"/>
    </row>
    <row r="94" spans="7:7">
      <c r="G94" s="32"/>
    </row>
    <row r="95" spans="7:7">
      <c r="G95" s="32"/>
    </row>
    <row r="96" spans="7:7">
      <c r="G96" s="32"/>
    </row>
    <row r="97" spans="7:7">
      <c r="G97" s="32"/>
    </row>
    <row r="98" spans="7:7">
      <c r="G98" s="32"/>
    </row>
    <row r="99" spans="7:7">
      <c r="G99" s="32"/>
    </row>
    <row r="100" spans="7:7">
      <c r="G100" s="32"/>
    </row>
    <row r="101" spans="7:7">
      <c r="G101" s="32"/>
    </row>
    <row r="102" spans="7:7">
      <c r="G102" s="32"/>
    </row>
    <row r="103" spans="7:7">
      <c r="G103" s="32"/>
    </row>
    <row r="104" spans="7:7">
      <c r="G104" s="32"/>
    </row>
    <row r="105" spans="7:7">
      <c r="G105" s="32"/>
    </row>
    <row r="106" spans="7:7">
      <c r="G106" s="32"/>
    </row>
    <row r="107" spans="7:7">
      <c r="G107" s="32"/>
    </row>
    <row r="108" spans="7:7">
      <c r="G108" s="32"/>
    </row>
    <row r="109" spans="7:7">
      <c r="G109" s="32"/>
    </row>
    <row r="110" spans="7:7">
      <c r="G110" s="32"/>
    </row>
    <row r="111" spans="7:7">
      <c r="G111" s="32"/>
    </row>
    <row r="112" spans="7:7">
      <c r="G112" s="32"/>
    </row>
    <row r="113" spans="7:7">
      <c r="G113" s="32"/>
    </row>
  </sheetData>
  <mergeCells count="1">
    <mergeCell ref="A1:N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13"/>
  <sheetViews>
    <sheetView topLeftCell="A16" workbookViewId="0">
      <selection activeCell="K14" sqref="K14"/>
    </sheetView>
  </sheetViews>
  <sheetFormatPr defaultColWidth="8.725" defaultRowHeight="13.5"/>
  <cols>
    <col min="1" max="1" width="13.375" style="6" customWidth="1"/>
    <col min="2" max="2" width="10.4666666666667" style="7" customWidth="1"/>
    <col min="3" max="3" width="16.2833333333333" style="7" customWidth="1"/>
    <col min="4" max="5" width="13.0083333333333" style="7" customWidth="1"/>
    <col min="6" max="6" width="13.9166666666667" style="7" customWidth="1"/>
    <col min="7" max="7" width="13.0083333333333" style="8" customWidth="1"/>
    <col min="8" max="10" width="13.0083333333333" style="7" customWidth="1"/>
    <col min="11" max="11" width="11.0083333333333" style="7" customWidth="1"/>
    <col min="12" max="12" width="10.4666666666667" style="7" customWidth="1"/>
    <col min="13" max="13" width="13.0083333333333" style="7" customWidth="1"/>
    <col min="14" max="14" width="15.9166666666667" style="7" customWidth="1"/>
  </cols>
  <sheetData>
    <row r="1" s="1" customFormat="1" ht="28.5" customHeight="1" spans="1:6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="2" customFormat="1" ht="22.5" customHeight="1" spans="1:62">
      <c r="A2" s="10" t="s">
        <v>1</v>
      </c>
      <c r="B2" s="11" t="s">
        <v>2</v>
      </c>
      <c r="C2" s="11" t="s">
        <v>3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2"/>
      <c r="R2" s="13"/>
    </row>
    <row r="3" s="3" customFormat="1" ht="22.5" customHeight="1" spans="1:62">
      <c r="A3" s="14"/>
      <c r="B3" s="15"/>
      <c r="C3" s="15"/>
      <c r="D3" s="15"/>
      <c r="E3" s="15"/>
      <c r="F3" s="15"/>
      <c r="G3" s="16">
        <f t="shared" ref="G3:G32" si="0">SUM(D3*F3)</f>
        <v>0</v>
      </c>
      <c r="H3" s="17"/>
      <c r="I3" s="15"/>
      <c r="J3" s="15"/>
      <c r="K3" s="15"/>
      <c r="L3" s="15"/>
      <c r="M3" s="15"/>
      <c r="N3" s="15"/>
      <c r="O3" s="18"/>
    </row>
    <row r="4" s="4" customFormat="1" ht="22.5" customHeight="1" spans="1:62">
      <c r="A4" s="14"/>
      <c r="B4" s="15"/>
      <c r="C4" s="15"/>
      <c r="D4" s="15"/>
      <c r="E4" s="15"/>
      <c r="F4" s="15"/>
      <c r="G4" s="16">
        <f t="shared" si="0"/>
        <v>0</v>
      </c>
      <c r="H4" s="17"/>
      <c r="I4" s="15"/>
      <c r="J4" s="15"/>
      <c r="K4" s="15"/>
      <c r="L4" s="15"/>
      <c r="M4" s="15"/>
      <c r="N4" s="15"/>
      <c r="O4" s="1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="5" customFormat="1" ht="22.5" customHeight="1" spans="1:62">
      <c r="A5" s="14"/>
      <c r="B5" s="15"/>
      <c r="C5" s="15"/>
      <c r="D5" s="15"/>
      <c r="E5" s="15"/>
      <c r="F5" s="15"/>
      <c r="G5" s="16">
        <f t="shared" si="0"/>
        <v>0</v>
      </c>
      <c r="H5" s="17"/>
      <c r="I5" s="15"/>
      <c r="J5" s="15"/>
      <c r="K5" s="15"/>
      <c r="L5" s="15"/>
      <c r="M5" s="15"/>
      <c r="N5" s="15"/>
      <c r="O5" s="1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="4" customFormat="1" ht="22.5" customHeight="1" spans="1:62">
      <c r="A6" s="14"/>
      <c r="B6" s="15"/>
      <c r="C6" s="15"/>
      <c r="D6" s="15"/>
      <c r="E6" s="15"/>
      <c r="F6" s="15"/>
      <c r="G6" s="16">
        <f t="shared" si="0"/>
        <v>0</v>
      </c>
      <c r="H6" s="17"/>
      <c r="I6" s="15"/>
      <c r="J6" s="15"/>
      <c r="K6" s="15"/>
      <c r="L6" s="15"/>
      <c r="M6" s="15"/>
      <c r="N6" s="15"/>
      <c r="O6" s="18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="5" customFormat="1" ht="22.5" customHeight="1" spans="1:62">
      <c r="A7" s="14"/>
      <c r="B7" s="15"/>
      <c r="C7" s="15"/>
      <c r="D7" s="15"/>
      <c r="E7" s="15"/>
      <c r="F7" s="15"/>
      <c r="G7" s="16">
        <f t="shared" si="0"/>
        <v>0</v>
      </c>
      <c r="H7" s="17"/>
      <c r="I7" s="15"/>
      <c r="J7" s="15"/>
      <c r="K7" s="15"/>
      <c r="L7" s="15"/>
      <c r="M7" s="15"/>
      <c r="N7" s="15"/>
      <c r="O7" s="18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="5" customFormat="1" ht="22.5" customHeight="1" spans="1:62">
      <c r="A8" s="14"/>
      <c r="B8" s="15"/>
      <c r="C8" s="15"/>
      <c r="D8" s="15"/>
      <c r="E8" s="15"/>
      <c r="F8" s="15"/>
      <c r="G8" s="16">
        <f t="shared" si="0"/>
        <v>0</v>
      </c>
      <c r="H8" s="17"/>
      <c r="I8" s="15"/>
      <c r="J8" s="15"/>
      <c r="K8" s="19"/>
      <c r="L8" s="15"/>
      <c r="M8" s="15"/>
      <c r="N8" s="15"/>
      <c r="O8" s="1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="4" customFormat="1" ht="22.5" customHeight="1" spans="1:62">
      <c r="A9" s="14"/>
      <c r="B9" s="15"/>
      <c r="C9" s="15"/>
      <c r="D9" s="15"/>
      <c r="E9" s="15"/>
      <c r="F9" s="15"/>
      <c r="G9" s="16">
        <f t="shared" si="0"/>
        <v>0</v>
      </c>
      <c r="H9" s="17"/>
      <c r="I9" s="15"/>
      <c r="J9" s="15"/>
      <c r="K9" s="15"/>
      <c r="L9" s="15"/>
      <c r="M9" s="15"/>
      <c r="N9" s="15"/>
      <c r="O9" s="18"/>
      <c r="P9" s="3"/>
      <c r="Q9" s="20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="5" customFormat="1" ht="22.5" customHeight="1" spans="1:62">
      <c r="A10" s="21"/>
      <c r="B10" s="15"/>
      <c r="C10" s="15"/>
      <c r="D10" s="15"/>
      <c r="E10" s="15"/>
      <c r="F10" s="15"/>
      <c r="G10" s="16">
        <f t="shared" si="0"/>
        <v>0</v>
      </c>
      <c r="H10" s="17"/>
      <c r="I10" s="15"/>
      <c r="J10" s="15"/>
      <c r="K10" s="15"/>
      <c r="L10" s="15"/>
      <c r="M10" s="15"/>
      <c r="N10" s="15"/>
      <c r="O10" s="18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="4" customFormat="1" ht="22.5" customHeight="1" spans="1:62">
      <c r="A11" s="21"/>
      <c r="B11" s="15"/>
      <c r="C11" s="15"/>
      <c r="D11" s="15"/>
      <c r="E11" s="15"/>
      <c r="F11" s="15"/>
      <c r="G11" s="16">
        <f t="shared" si="0"/>
        <v>0</v>
      </c>
      <c r="H11" s="17"/>
      <c r="I11" s="15"/>
      <c r="J11" s="15"/>
      <c r="K11" s="15"/>
      <c r="L11" s="15"/>
      <c r="M11" s="15"/>
      <c r="N11" s="15"/>
      <c r="O11" s="18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="4" customFormat="1" ht="22.5" customHeight="1" spans="1:62">
      <c r="A12" s="21"/>
      <c r="B12" s="15"/>
      <c r="C12" s="15"/>
      <c r="D12" s="15"/>
      <c r="E12" s="15"/>
      <c r="F12" s="15"/>
      <c r="G12" s="16">
        <f t="shared" si="0"/>
        <v>0</v>
      </c>
      <c r="H12" s="17"/>
      <c r="I12" s="15"/>
      <c r="J12" s="15"/>
      <c r="K12" s="19"/>
      <c r="L12" s="15"/>
      <c r="M12" s="15"/>
      <c r="N12" s="15"/>
      <c r="O12" s="18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="4" customFormat="1" ht="22.5" customHeight="1" spans="1:62">
      <c r="A13" s="21"/>
      <c r="B13" s="15"/>
      <c r="C13" s="15"/>
      <c r="D13" s="15"/>
      <c r="E13" s="15"/>
      <c r="F13" s="15"/>
      <c r="G13" s="16">
        <f t="shared" si="0"/>
        <v>0</v>
      </c>
      <c r="H13" s="17"/>
      <c r="I13" s="15"/>
      <c r="J13" s="15"/>
      <c r="K13" s="19"/>
      <c r="L13" s="15"/>
      <c r="M13" s="15"/>
      <c r="N13" s="15"/>
      <c r="O13" s="1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="4" customFormat="1" ht="22.5" customHeight="1" spans="1:62">
      <c r="A14" s="21"/>
      <c r="B14" s="15"/>
      <c r="C14" s="15"/>
      <c r="D14" s="15"/>
      <c r="E14" s="15"/>
      <c r="F14" s="15"/>
      <c r="G14" s="16">
        <f t="shared" si="0"/>
        <v>0</v>
      </c>
      <c r="H14" s="17"/>
      <c r="I14" s="15"/>
      <c r="J14" s="15"/>
      <c r="K14" s="15"/>
      <c r="L14" s="15"/>
      <c r="M14" s="15"/>
      <c r="N14" s="15"/>
      <c r="O14" s="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="5" customFormat="1" ht="22.5" customHeight="1" spans="1:62">
      <c r="A15" s="21"/>
      <c r="B15" s="15"/>
      <c r="C15" s="15"/>
      <c r="D15" s="15"/>
      <c r="E15" s="15"/>
      <c r="F15" s="15"/>
      <c r="G15" s="16">
        <f t="shared" si="0"/>
        <v>0</v>
      </c>
      <c r="H15" s="17"/>
      <c r="I15" s="15"/>
      <c r="J15" s="15"/>
      <c r="K15" s="15"/>
      <c r="L15" s="15"/>
      <c r="M15" s="15"/>
      <c r="N15" s="15"/>
      <c r="O15" s="18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="4" customFormat="1" ht="22.5" customHeight="1" spans="1:62">
      <c r="A16" s="21"/>
      <c r="B16" s="15"/>
      <c r="C16" s="15"/>
      <c r="D16" s="15"/>
      <c r="E16" s="15"/>
      <c r="F16" s="15"/>
      <c r="G16" s="16">
        <f t="shared" si="0"/>
        <v>0</v>
      </c>
      <c r="H16" s="17"/>
      <c r="I16" s="15"/>
      <c r="J16" s="15"/>
      <c r="K16" s="15"/>
      <c r="L16" s="15"/>
      <c r="M16" s="15"/>
      <c r="N16" s="15"/>
      <c r="O16" s="18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="5" customFormat="1" ht="22.5" customHeight="1" spans="1:62">
      <c r="A17" s="21"/>
      <c r="B17" s="15"/>
      <c r="C17" s="15"/>
      <c r="D17" s="15"/>
      <c r="E17" s="15"/>
      <c r="F17" s="15"/>
      <c r="G17" s="16">
        <f t="shared" si="0"/>
        <v>0</v>
      </c>
      <c r="H17" s="17"/>
      <c r="I17" s="15"/>
      <c r="J17" s="15"/>
      <c r="K17" s="15"/>
      <c r="L17" s="15"/>
      <c r="M17" s="15"/>
      <c r="N17" s="15"/>
      <c r="O17" s="18"/>
      <c r="P17" s="3"/>
      <c r="Q17" s="20"/>
      <c r="R17" s="3"/>
      <c r="S17" s="2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="5" customFormat="1" ht="22.5" customHeight="1" spans="1:62">
      <c r="A18" s="21"/>
      <c r="B18" s="15"/>
      <c r="C18" s="15"/>
      <c r="D18" s="15"/>
      <c r="E18" s="15"/>
      <c r="F18" s="15"/>
      <c r="G18" s="16">
        <f t="shared" si="0"/>
        <v>0</v>
      </c>
      <c r="H18" s="17"/>
      <c r="I18" s="15"/>
      <c r="J18" s="15"/>
      <c r="K18" s="15"/>
      <c r="L18" s="15"/>
      <c r="M18" s="15"/>
      <c r="N18" s="15"/>
      <c r="O18" s="18"/>
      <c r="P18" s="3"/>
      <c r="Q18" s="23"/>
      <c r="R18" s="3"/>
      <c r="S18" s="2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="5" customFormat="1" ht="22.5" customHeight="1" spans="1:62">
      <c r="A19" s="21"/>
      <c r="B19" s="15"/>
      <c r="C19" s="15"/>
      <c r="D19" s="15"/>
      <c r="E19" s="15"/>
      <c r="F19" s="15"/>
      <c r="G19" s="16">
        <f t="shared" si="0"/>
        <v>0</v>
      </c>
      <c r="H19" s="17"/>
      <c r="I19" s="15"/>
      <c r="J19" s="15"/>
      <c r="K19" s="15"/>
      <c r="L19" s="15"/>
      <c r="M19" s="15"/>
      <c r="N19" s="15"/>
      <c r="O19" s="18"/>
      <c r="P19" s="3"/>
      <c r="Q19" s="23"/>
      <c r="R19" s="3"/>
      <c r="S19" s="2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="5" customFormat="1" ht="22.5" customHeight="1" spans="1:62">
      <c r="A20" s="21"/>
      <c r="B20" s="15"/>
      <c r="C20" s="15"/>
      <c r="D20" s="15"/>
      <c r="E20" s="15"/>
      <c r="F20" s="15"/>
      <c r="G20" s="16">
        <f t="shared" si="0"/>
        <v>0</v>
      </c>
      <c r="H20" s="17"/>
      <c r="I20" s="15"/>
      <c r="J20" s="15"/>
      <c r="K20" s="15"/>
      <c r="L20" s="15"/>
      <c r="M20" s="15"/>
      <c r="N20" s="15"/>
      <c r="O20" s="18"/>
      <c r="P20" s="3"/>
      <c r="Q20" s="23"/>
      <c r="R20" s="3"/>
      <c r="S20" s="2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="4" customFormat="1" ht="22.5" customHeight="1" spans="1:62">
      <c r="A21" s="21"/>
      <c r="B21" s="15"/>
      <c r="C21" s="15"/>
      <c r="D21" s="15"/>
      <c r="E21" s="15"/>
      <c r="F21" s="15"/>
      <c r="G21" s="16">
        <f t="shared" si="0"/>
        <v>0</v>
      </c>
      <c r="H21" s="17"/>
      <c r="I21" s="15"/>
      <c r="J21" s="15"/>
      <c r="K21" s="15"/>
      <c r="L21" s="15"/>
      <c r="M21" s="15"/>
      <c r="N21" s="15"/>
      <c r="O21" s="18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="5" customFormat="1" ht="22.5" customHeight="1" spans="1:62">
      <c r="A22" s="21"/>
      <c r="B22" s="15"/>
      <c r="C22" s="15"/>
      <c r="D22" s="15"/>
      <c r="E22" s="15"/>
      <c r="F22" s="15"/>
      <c r="G22" s="16">
        <f t="shared" si="0"/>
        <v>0</v>
      </c>
      <c r="H22" s="17"/>
      <c r="I22" s="15"/>
      <c r="J22" s="25"/>
      <c r="K22" s="15"/>
      <c r="L22" s="15"/>
      <c r="M22" s="15"/>
      <c r="N22" s="15"/>
      <c r="O22" s="18"/>
      <c r="P22" s="26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="4" customFormat="1" ht="22.5" customHeight="1" spans="1:62">
      <c r="A23" s="27"/>
      <c r="B23" s="15"/>
      <c r="C23" s="15"/>
      <c r="D23" s="15"/>
      <c r="E23" s="15"/>
      <c r="F23" s="15"/>
      <c r="G23" s="16">
        <f t="shared" si="0"/>
        <v>0</v>
      </c>
      <c r="H23" s="17"/>
      <c r="I23" s="15"/>
      <c r="J23" s="15"/>
      <c r="K23" s="15"/>
      <c r="L23" s="15"/>
      <c r="M23" s="15"/>
      <c r="N23" s="15"/>
      <c r="O23" s="1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="5" customFormat="1" ht="22.5" customHeight="1" spans="1:62">
      <c r="A24" s="21"/>
      <c r="B24" s="15"/>
      <c r="C24" s="15"/>
      <c r="D24" s="15"/>
      <c r="E24" s="15"/>
      <c r="F24" s="15"/>
      <c r="G24" s="16">
        <f t="shared" si="0"/>
        <v>0</v>
      </c>
      <c r="H24" s="17"/>
      <c r="I24" s="15"/>
      <c r="J24" s="15"/>
      <c r="K24" s="15"/>
      <c r="L24" s="15"/>
      <c r="M24" s="15"/>
      <c r="N24" s="15"/>
      <c r="O24" s="18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="4" customFormat="1" ht="22.5" customHeight="1" spans="1:62">
      <c r="A25" s="21"/>
      <c r="B25" s="15"/>
      <c r="C25" s="15"/>
      <c r="D25" s="15"/>
      <c r="E25" s="15"/>
      <c r="F25" s="15"/>
      <c r="G25" s="16">
        <f t="shared" si="0"/>
        <v>0</v>
      </c>
      <c r="H25" s="17"/>
      <c r="I25" s="15"/>
      <c r="J25" s="15"/>
      <c r="K25" s="15"/>
      <c r="L25" s="15"/>
      <c r="M25" s="15"/>
      <c r="N25" s="15"/>
      <c r="O25" s="18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="5" customFormat="1" ht="22.5" customHeight="1" spans="1:62">
      <c r="A26" s="21"/>
      <c r="B26" s="15"/>
      <c r="C26" s="15"/>
      <c r="D26" s="15"/>
      <c r="E26" s="15"/>
      <c r="F26" s="15"/>
      <c r="G26" s="16">
        <f t="shared" si="0"/>
        <v>0</v>
      </c>
      <c r="H26" s="17"/>
      <c r="I26" s="15"/>
      <c r="J26" s="15"/>
      <c r="K26" s="15"/>
      <c r="L26" s="15"/>
      <c r="M26" s="15"/>
      <c r="N26" s="15"/>
      <c r="O26" s="1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="4" customFormat="1" ht="22.5" customHeight="1" spans="1:62">
      <c r="A27" s="21"/>
      <c r="B27" s="15"/>
      <c r="C27" s="15"/>
      <c r="D27" s="15"/>
      <c r="E27" s="15"/>
      <c r="F27" s="15"/>
      <c r="G27" s="16">
        <f t="shared" si="0"/>
        <v>0</v>
      </c>
      <c r="H27" s="17"/>
      <c r="I27" s="15"/>
      <c r="J27" s="15"/>
      <c r="K27" s="15"/>
      <c r="L27" s="15"/>
      <c r="M27" s="15"/>
      <c r="N27" s="15"/>
      <c r="O27" s="18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="5" customFormat="1" ht="22.5" customHeight="1" spans="1:62">
      <c r="A28" s="21"/>
      <c r="B28" s="15"/>
      <c r="C28" s="15"/>
      <c r="D28" s="15"/>
      <c r="E28" s="15"/>
      <c r="F28" s="15"/>
      <c r="G28" s="16">
        <f t="shared" si="0"/>
        <v>0</v>
      </c>
      <c r="H28" s="17"/>
      <c r="I28" s="15"/>
      <c r="J28" s="15"/>
      <c r="K28" s="15"/>
      <c r="L28" s="15"/>
      <c r="M28" s="15"/>
      <c r="N28" s="15"/>
      <c r="O28" s="1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="4" customFormat="1" ht="22.5" customHeight="1" spans="1:62">
      <c r="A29" s="21"/>
      <c r="B29" s="15"/>
      <c r="C29" s="15"/>
      <c r="D29" s="15"/>
      <c r="E29" s="15"/>
      <c r="F29" s="15"/>
      <c r="G29" s="16">
        <f t="shared" si="0"/>
        <v>0</v>
      </c>
      <c r="H29" s="17"/>
      <c r="I29" s="15"/>
      <c r="J29" s="15"/>
      <c r="K29" s="15"/>
      <c r="L29" s="15"/>
      <c r="M29" s="15"/>
      <c r="N29" s="15"/>
      <c r="O29" s="1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="5" customFormat="1" ht="22.5" customHeight="1" spans="1:62">
      <c r="A30" s="21"/>
      <c r="B30" s="15"/>
      <c r="C30" s="15"/>
      <c r="D30" s="15"/>
      <c r="E30" s="15"/>
      <c r="F30" s="15"/>
      <c r="G30" s="16">
        <f t="shared" si="0"/>
        <v>0</v>
      </c>
      <c r="H30" s="17"/>
      <c r="I30" s="15"/>
      <c r="J30" s="15"/>
      <c r="K30" s="15"/>
      <c r="L30" s="15"/>
      <c r="M30" s="15"/>
      <c r="N30" s="15"/>
      <c r="O30" s="1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="4" customFormat="1" ht="22.5" customHeight="1" spans="1:62">
      <c r="A31" s="21"/>
      <c r="B31" s="15"/>
      <c r="C31" s="15"/>
      <c r="D31" s="15"/>
      <c r="E31" s="15"/>
      <c r="F31" s="15"/>
      <c r="G31" s="16">
        <f t="shared" si="0"/>
        <v>0</v>
      </c>
      <c r="H31" s="17"/>
      <c r="I31" s="15"/>
      <c r="J31" s="15"/>
      <c r="K31" s="15"/>
      <c r="L31" s="15"/>
      <c r="M31" s="15"/>
      <c r="N31" s="15"/>
      <c r="O31" s="1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="5" customFormat="1" ht="22.5" customHeight="1" spans="1:62">
      <c r="A32" s="21"/>
      <c r="B32" s="15"/>
      <c r="C32" s="15"/>
      <c r="D32" s="15"/>
      <c r="E32" s="15"/>
      <c r="F32" s="15"/>
      <c r="G32" s="16">
        <f t="shared" si="0"/>
        <v>0</v>
      </c>
      <c r="H32" s="17"/>
      <c r="I32" s="15"/>
      <c r="J32" s="15"/>
      <c r="K32" s="15"/>
      <c r="L32" s="15"/>
      <c r="M32" s="15"/>
      <c r="N32" s="15"/>
      <c r="O32" s="18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customFormat="1" ht="22.5" customHeight="1" spans="1:62">
      <c r="A33" s="21"/>
      <c r="B33" s="15"/>
      <c r="C33" s="15"/>
      <c r="D33" s="15">
        <f>SUM(D3:D32)</f>
        <v>0</v>
      </c>
      <c r="E33" s="15">
        <f>SUM(E3:E32)</f>
        <v>0</v>
      </c>
      <c r="F33" s="15"/>
      <c r="G33" s="16">
        <f>SUM(G3:G32)</f>
        <v>0</v>
      </c>
      <c r="H33" s="17">
        <f>SUM(H3:H32)</f>
        <v>0</v>
      </c>
      <c r="I33" s="15"/>
      <c r="J33" s="15"/>
      <c r="K33" s="15"/>
      <c r="L33" s="15"/>
      <c r="M33" s="15"/>
      <c r="N33" s="15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</row>
    <row r="34" spans="1:62">
      <c r="A34" s="29"/>
      <c r="B34" s="30"/>
      <c r="C34" s="30"/>
      <c r="D34" s="30"/>
      <c r="E34" s="30"/>
      <c r="F34" s="30"/>
      <c r="G34" s="31"/>
      <c r="H34" s="30"/>
      <c r="I34" s="30"/>
      <c r="J34" s="30"/>
      <c r="K34" s="30"/>
      <c r="L34" s="30"/>
      <c r="M34" s="30"/>
      <c r="N34" s="30"/>
    </row>
    <row r="35" spans="1:62">
      <c r="G35" s="32"/>
    </row>
    <row r="36" spans="1:62">
      <c r="G36" s="32"/>
    </row>
    <row r="37" spans="1:62">
      <c r="G37" s="32"/>
    </row>
    <row r="38" spans="1:62">
      <c r="G38" s="32"/>
    </row>
    <row r="39" spans="1:62">
      <c r="G39" s="32"/>
    </row>
    <row r="40" spans="1:62">
      <c r="G40" s="32"/>
    </row>
    <row r="41" spans="1:62">
      <c r="G41" s="32"/>
    </row>
    <row r="42" spans="1:62">
      <c r="G42" s="32"/>
    </row>
    <row r="43" spans="1:62">
      <c r="G43" s="32"/>
    </row>
    <row r="44" spans="1:62">
      <c r="G44" s="32"/>
    </row>
    <row r="45" spans="1:62">
      <c r="G45" s="32"/>
    </row>
    <row r="46" spans="1:62">
      <c r="G46" s="32"/>
    </row>
    <row r="47" spans="1:62">
      <c r="G47" s="32"/>
    </row>
    <row r="48" spans="1:62">
      <c r="G48" s="32"/>
    </row>
    <row r="49" spans="7:7">
      <c r="G49" s="32"/>
    </row>
    <row r="50" spans="7:7">
      <c r="G50" s="32"/>
    </row>
    <row r="51" spans="7:7">
      <c r="G51" s="32"/>
    </row>
    <row r="52" spans="7:7">
      <c r="G52" s="32"/>
    </row>
    <row r="53" spans="7:7">
      <c r="G53" s="32"/>
    </row>
    <row r="54" spans="7:7">
      <c r="G54" s="32"/>
    </row>
    <row r="55" spans="7:7">
      <c r="G55" s="32"/>
    </row>
    <row r="56" spans="7:7">
      <c r="G56" s="32"/>
    </row>
    <row r="57" spans="7:7">
      <c r="G57" s="32"/>
    </row>
    <row r="58" spans="7:7">
      <c r="G58" s="32"/>
    </row>
    <row r="59" spans="7:7">
      <c r="G59" s="32"/>
    </row>
    <row r="60" spans="7:7">
      <c r="G60" s="32"/>
    </row>
    <row r="61" spans="7:7">
      <c r="G61" s="32"/>
    </row>
    <row r="62" spans="7:7">
      <c r="G62" s="32"/>
    </row>
    <row r="63" spans="7:7">
      <c r="G63" s="32"/>
    </row>
    <row r="64" spans="7:7">
      <c r="G64" s="32"/>
    </row>
    <row r="65" spans="7:7">
      <c r="G65" s="32"/>
    </row>
    <row r="66" spans="7:7">
      <c r="G66" s="32"/>
    </row>
    <row r="67" spans="7:7">
      <c r="G67" s="32"/>
    </row>
    <row r="68" spans="7:7">
      <c r="G68" s="32"/>
    </row>
    <row r="69" spans="7:7">
      <c r="G69" s="32"/>
    </row>
    <row r="70" spans="7:7">
      <c r="G70" s="32"/>
    </row>
    <row r="71" spans="7:7">
      <c r="G71" s="32"/>
    </row>
    <row r="72" spans="7:7">
      <c r="G72" s="32"/>
    </row>
    <row r="73" spans="7:7">
      <c r="G73" s="32"/>
    </row>
    <row r="74" spans="7:7">
      <c r="G74" s="32"/>
    </row>
    <row r="75" spans="7:7">
      <c r="G75" s="32"/>
    </row>
    <row r="76" spans="7:7">
      <c r="G76" s="32"/>
    </row>
    <row r="77" spans="7:7">
      <c r="G77" s="32"/>
    </row>
    <row r="78" spans="7:7">
      <c r="G78" s="32"/>
    </row>
    <row r="79" spans="7:7">
      <c r="G79" s="32"/>
    </row>
    <row r="80" spans="7:7">
      <c r="G80" s="32"/>
    </row>
    <row r="81" spans="7:7">
      <c r="G81" s="32"/>
    </row>
    <row r="82" spans="7:7">
      <c r="G82" s="32"/>
    </row>
    <row r="83" spans="7:7">
      <c r="G83" s="32"/>
    </row>
    <row r="84" spans="7:7">
      <c r="G84" s="32"/>
    </row>
    <row r="85" spans="7:7">
      <c r="G85" s="32"/>
    </row>
    <row r="86" spans="7:7">
      <c r="G86" s="32"/>
    </row>
    <row r="87" spans="7:7">
      <c r="G87" s="32"/>
    </row>
    <row r="88" spans="7:7">
      <c r="G88" s="32"/>
    </row>
    <row r="89" spans="7:7">
      <c r="G89" s="32"/>
    </row>
    <row r="90" spans="7:7">
      <c r="G90" s="32"/>
    </row>
    <row r="91" spans="7:7">
      <c r="G91" s="32"/>
    </row>
    <row r="92" spans="7:7">
      <c r="G92" s="32"/>
    </row>
    <row r="93" spans="7:7">
      <c r="G93" s="32"/>
    </row>
    <row r="94" spans="7:7">
      <c r="G94" s="32"/>
    </row>
    <row r="95" spans="7:7">
      <c r="G95" s="32"/>
    </row>
    <row r="96" spans="7:7">
      <c r="G96" s="32"/>
    </row>
    <row r="97" spans="7:7">
      <c r="G97" s="32"/>
    </row>
    <row r="98" spans="7:7">
      <c r="G98" s="32"/>
    </row>
    <row r="99" spans="7:7">
      <c r="G99" s="32"/>
    </row>
    <row r="100" spans="7:7">
      <c r="G100" s="32"/>
    </row>
    <row r="101" spans="7:7">
      <c r="G101" s="32"/>
    </row>
    <row r="102" spans="7:7">
      <c r="G102" s="32"/>
    </row>
    <row r="103" spans="7:7">
      <c r="G103" s="32"/>
    </row>
    <row r="104" spans="7:7">
      <c r="G104" s="32"/>
    </row>
    <row r="105" spans="7:7">
      <c r="G105" s="32"/>
    </row>
    <row r="106" spans="7:7">
      <c r="G106" s="32"/>
    </row>
    <row r="107" spans="7:7">
      <c r="G107" s="32"/>
    </row>
    <row r="108" spans="7:7">
      <c r="G108" s="32"/>
    </row>
    <row r="109" spans="7:7">
      <c r="G109" s="32"/>
    </row>
    <row r="110" spans="7:7">
      <c r="G110" s="32"/>
    </row>
    <row r="111" spans="7:7">
      <c r="G111" s="32"/>
    </row>
    <row r="112" spans="7:7">
      <c r="G112" s="32"/>
    </row>
    <row r="113" spans="7:7">
      <c r="G113" s="32"/>
    </row>
  </sheetData>
  <mergeCells count="1">
    <mergeCell ref="A1:N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13"/>
  <sheetViews>
    <sheetView topLeftCell="A14" workbookViewId="0">
      <selection activeCell="K14" sqref="K14"/>
    </sheetView>
  </sheetViews>
  <sheetFormatPr defaultColWidth="8.725" defaultRowHeight="13.5"/>
  <cols>
    <col min="1" max="1" width="13.375" style="6" customWidth="1"/>
    <col min="2" max="2" width="10.4666666666667" style="7" customWidth="1"/>
    <col min="3" max="3" width="16.2833333333333" style="7" customWidth="1"/>
    <col min="4" max="5" width="13.0083333333333" style="7" customWidth="1"/>
    <col min="6" max="6" width="13.9166666666667" style="7" customWidth="1"/>
    <col min="7" max="7" width="13.0083333333333" style="8" customWidth="1"/>
    <col min="8" max="10" width="13.0083333333333" style="7" customWidth="1"/>
    <col min="11" max="11" width="11.0083333333333" style="7" customWidth="1"/>
    <col min="12" max="12" width="10.4666666666667" style="7" customWidth="1"/>
    <col min="13" max="13" width="13.0083333333333" style="7" customWidth="1"/>
    <col min="14" max="14" width="15.9166666666667" style="7" customWidth="1"/>
  </cols>
  <sheetData>
    <row r="1" s="1" customFormat="1" ht="28.5" customHeight="1" spans="1:6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="2" customFormat="1" ht="22.5" customHeight="1" spans="1:62">
      <c r="A2" s="10" t="s">
        <v>1</v>
      </c>
      <c r="B2" s="11" t="s">
        <v>2</v>
      </c>
      <c r="C2" s="11" t="s">
        <v>3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2"/>
      <c r="R2" s="13"/>
    </row>
    <row r="3" s="3" customFormat="1" ht="22.5" customHeight="1" spans="1:62">
      <c r="A3" s="14"/>
      <c r="B3" s="15"/>
      <c r="C3" s="15"/>
      <c r="D3" s="15"/>
      <c r="E3" s="15"/>
      <c r="F3" s="15"/>
      <c r="G3" s="16">
        <f t="shared" ref="G3:G32" si="0">SUM(D3*F3)</f>
        <v>0</v>
      </c>
      <c r="H3" s="17"/>
      <c r="I3" s="15"/>
      <c r="J3" s="15"/>
      <c r="K3" s="15"/>
      <c r="L3" s="15"/>
      <c r="M3" s="15"/>
      <c r="N3" s="15"/>
      <c r="O3" s="18"/>
    </row>
    <row r="4" s="4" customFormat="1" ht="22.5" customHeight="1" spans="1:62">
      <c r="A4" s="14"/>
      <c r="B4" s="15"/>
      <c r="C4" s="15"/>
      <c r="D4" s="15"/>
      <c r="E4" s="15"/>
      <c r="F4" s="15"/>
      <c r="G4" s="16">
        <f t="shared" si="0"/>
        <v>0</v>
      </c>
      <c r="H4" s="17"/>
      <c r="I4" s="15"/>
      <c r="J4" s="15"/>
      <c r="K4" s="15"/>
      <c r="L4" s="15"/>
      <c r="M4" s="15"/>
      <c r="N4" s="15"/>
      <c r="O4" s="1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="5" customFormat="1" ht="22.5" customHeight="1" spans="1:62">
      <c r="A5" s="14"/>
      <c r="B5" s="15"/>
      <c r="C5" s="15"/>
      <c r="D5" s="15"/>
      <c r="E5" s="15"/>
      <c r="F5" s="15"/>
      <c r="G5" s="16">
        <f t="shared" si="0"/>
        <v>0</v>
      </c>
      <c r="H5" s="17"/>
      <c r="I5" s="15"/>
      <c r="J5" s="15"/>
      <c r="K5" s="15"/>
      <c r="L5" s="15"/>
      <c r="M5" s="15"/>
      <c r="N5" s="15"/>
      <c r="O5" s="1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="4" customFormat="1" ht="22.5" customHeight="1" spans="1:62">
      <c r="A6" s="14"/>
      <c r="B6" s="15"/>
      <c r="C6" s="15"/>
      <c r="D6" s="15"/>
      <c r="E6" s="15"/>
      <c r="F6" s="15"/>
      <c r="G6" s="16">
        <f t="shared" si="0"/>
        <v>0</v>
      </c>
      <c r="H6" s="17"/>
      <c r="I6" s="15"/>
      <c r="J6" s="15"/>
      <c r="K6" s="15"/>
      <c r="L6" s="15"/>
      <c r="M6" s="15"/>
      <c r="N6" s="15"/>
      <c r="O6" s="18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="5" customFormat="1" ht="22.5" customHeight="1" spans="1:62">
      <c r="A7" s="14"/>
      <c r="B7" s="15"/>
      <c r="C7" s="15"/>
      <c r="D7" s="15"/>
      <c r="E7" s="15"/>
      <c r="F7" s="15"/>
      <c r="G7" s="16">
        <f t="shared" si="0"/>
        <v>0</v>
      </c>
      <c r="H7" s="17"/>
      <c r="I7" s="15"/>
      <c r="J7" s="15"/>
      <c r="K7" s="15"/>
      <c r="L7" s="15"/>
      <c r="M7" s="15"/>
      <c r="N7" s="15"/>
      <c r="O7" s="18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="5" customFormat="1" ht="22.5" customHeight="1" spans="1:62">
      <c r="A8" s="14"/>
      <c r="B8" s="15"/>
      <c r="C8" s="15"/>
      <c r="D8" s="15"/>
      <c r="E8" s="15"/>
      <c r="F8" s="15"/>
      <c r="G8" s="16">
        <f t="shared" si="0"/>
        <v>0</v>
      </c>
      <c r="H8" s="17"/>
      <c r="I8" s="15"/>
      <c r="J8" s="15"/>
      <c r="K8" s="19"/>
      <c r="L8" s="15"/>
      <c r="M8" s="15"/>
      <c r="N8" s="15"/>
      <c r="O8" s="1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="4" customFormat="1" ht="22.5" customHeight="1" spans="1:62">
      <c r="A9" s="14"/>
      <c r="B9" s="15"/>
      <c r="C9" s="15"/>
      <c r="D9" s="15"/>
      <c r="E9" s="15"/>
      <c r="F9" s="15"/>
      <c r="G9" s="16">
        <f t="shared" si="0"/>
        <v>0</v>
      </c>
      <c r="H9" s="17"/>
      <c r="I9" s="15"/>
      <c r="J9" s="15"/>
      <c r="K9" s="15"/>
      <c r="L9" s="15"/>
      <c r="M9" s="15"/>
      <c r="N9" s="15"/>
      <c r="O9" s="18"/>
      <c r="P9" s="3"/>
      <c r="Q9" s="20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="5" customFormat="1" ht="22.5" customHeight="1" spans="1:62">
      <c r="A10" s="21"/>
      <c r="B10" s="15"/>
      <c r="C10" s="15"/>
      <c r="D10" s="15"/>
      <c r="E10" s="15"/>
      <c r="F10" s="15"/>
      <c r="G10" s="16">
        <f t="shared" si="0"/>
        <v>0</v>
      </c>
      <c r="H10" s="17"/>
      <c r="I10" s="15"/>
      <c r="J10" s="15"/>
      <c r="K10" s="15"/>
      <c r="L10" s="15"/>
      <c r="M10" s="15"/>
      <c r="N10" s="15"/>
      <c r="O10" s="18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="4" customFormat="1" ht="22.5" customHeight="1" spans="1:62">
      <c r="A11" s="21"/>
      <c r="B11" s="15"/>
      <c r="C11" s="15"/>
      <c r="D11" s="15"/>
      <c r="E11" s="15"/>
      <c r="F11" s="15"/>
      <c r="G11" s="16">
        <f t="shared" si="0"/>
        <v>0</v>
      </c>
      <c r="H11" s="17"/>
      <c r="I11" s="15"/>
      <c r="J11" s="15"/>
      <c r="K11" s="15"/>
      <c r="L11" s="15"/>
      <c r="M11" s="15"/>
      <c r="N11" s="15"/>
      <c r="O11" s="18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="4" customFormat="1" ht="22.5" customHeight="1" spans="1:62">
      <c r="A12" s="21"/>
      <c r="B12" s="15"/>
      <c r="C12" s="15"/>
      <c r="D12" s="15"/>
      <c r="E12" s="15"/>
      <c r="F12" s="15"/>
      <c r="G12" s="16">
        <f t="shared" si="0"/>
        <v>0</v>
      </c>
      <c r="H12" s="17"/>
      <c r="I12" s="15"/>
      <c r="J12" s="15"/>
      <c r="K12" s="19"/>
      <c r="L12" s="15"/>
      <c r="M12" s="15"/>
      <c r="N12" s="15"/>
      <c r="O12" s="18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="4" customFormat="1" ht="22.5" customHeight="1" spans="1:62">
      <c r="A13" s="21"/>
      <c r="B13" s="15"/>
      <c r="C13" s="15"/>
      <c r="D13" s="15"/>
      <c r="E13" s="15"/>
      <c r="F13" s="15"/>
      <c r="G13" s="16">
        <f t="shared" si="0"/>
        <v>0</v>
      </c>
      <c r="H13" s="17"/>
      <c r="I13" s="15"/>
      <c r="J13" s="15"/>
      <c r="K13" s="19"/>
      <c r="L13" s="15"/>
      <c r="M13" s="15"/>
      <c r="N13" s="15"/>
      <c r="O13" s="1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="4" customFormat="1" ht="22.5" customHeight="1" spans="1:62">
      <c r="A14" s="21"/>
      <c r="B14" s="15"/>
      <c r="C14" s="15"/>
      <c r="D14" s="15"/>
      <c r="E14" s="15"/>
      <c r="F14" s="15"/>
      <c r="G14" s="16">
        <f t="shared" si="0"/>
        <v>0</v>
      </c>
      <c r="H14" s="17"/>
      <c r="I14" s="15"/>
      <c r="J14" s="15"/>
      <c r="K14" s="15"/>
      <c r="L14" s="15"/>
      <c r="M14" s="15"/>
      <c r="N14" s="15"/>
      <c r="O14" s="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="5" customFormat="1" ht="22.5" customHeight="1" spans="1:62">
      <c r="A15" s="21"/>
      <c r="B15" s="15"/>
      <c r="C15" s="15"/>
      <c r="D15" s="15"/>
      <c r="E15" s="15"/>
      <c r="F15" s="15"/>
      <c r="G15" s="16">
        <f t="shared" si="0"/>
        <v>0</v>
      </c>
      <c r="H15" s="17"/>
      <c r="I15" s="15"/>
      <c r="J15" s="15"/>
      <c r="K15" s="15"/>
      <c r="L15" s="15"/>
      <c r="M15" s="15"/>
      <c r="N15" s="15"/>
      <c r="O15" s="18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="4" customFormat="1" ht="22.5" customHeight="1" spans="1:62">
      <c r="A16" s="21"/>
      <c r="B16" s="15"/>
      <c r="C16" s="15"/>
      <c r="D16" s="15"/>
      <c r="E16" s="15"/>
      <c r="F16" s="15"/>
      <c r="G16" s="16">
        <f t="shared" si="0"/>
        <v>0</v>
      </c>
      <c r="H16" s="17"/>
      <c r="I16" s="15"/>
      <c r="J16" s="15"/>
      <c r="K16" s="15"/>
      <c r="L16" s="15"/>
      <c r="M16" s="15"/>
      <c r="N16" s="15"/>
      <c r="O16" s="18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="5" customFormat="1" ht="22.5" customHeight="1" spans="1:62">
      <c r="A17" s="21"/>
      <c r="B17" s="15"/>
      <c r="C17" s="15"/>
      <c r="D17" s="15"/>
      <c r="E17" s="15"/>
      <c r="F17" s="15"/>
      <c r="G17" s="16">
        <f t="shared" si="0"/>
        <v>0</v>
      </c>
      <c r="H17" s="17"/>
      <c r="I17" s="15"/>
      <c r="J17" s="15"/>
      <c r="K17" s="15"/>
      <c r="L17" s="15"/>
      <c r="M17" s="15"/>
      <c r="N17" s="15"/>
      <c r="O17" s="18"/>
      <c r="P17" s="3"/>
      <c r="Q17" s="20"/>
      <c r="R17" s="3"/>
      <c r="S17" s="2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="5" customFormat="1" ht="22.5" customHeight="1" spans="1:62">
      <c r="A18" s="21"/>
      <c r="B18" s="15"/>
      <c r="C18" s="15"/>
      <c r="D18" s="15"/>
      <c r="E18" s="15"/>
      <c r="F18" s="15"/>
      <c r="G18" s="16">
        <f t="shared" si="0"/>
        <v>0</v>
      </c>
      <c r="H18" s="17"/>
      <c r="I18" s="15"/>
      <c r="J18" s="15"/>
      <c r="K18" s="15"/>
      <c r="L18" s="15"/>
      <c r="M18" s="15"/>
      <c r="N18" s="15"/>
      <c r="O18" s="18"/>
      <c r="P18" s="3"/>
      <c r="Q18" s="23"/>
      <c r="R18" s="3"/>
      <c r="S18" s="2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="5" customFormat="1" ht="22.5" customHeight="1" spans="1:62">
      <c r="A19" s="21"/>
      <c r="B19" s="15"/>
      <c r="C19" s="15"/>
      <c r="D19" s="15"/>
      <c r="E19" s="15"/>
      <c r="F19" s="15"/>
      <c r="G19" s="16">
        <f t="shared" si="0"/>
        <v>0</v>
      </c>
      <c r="H19" s="17"/>
      <c r="I19" s="15"/>
      <c r="J19" s="15"/>
      <c r="K19" s="15"/>
      <c r="L19" s="15"/>
      <c r="M19" s="15"/>
      <c r="N19" s="15"/>
      <c r="O19" s="18"/>
      <c r="P19" s="3"/>
      <c r="Q19" s="23"/>
      <c r="R19" s="3"/>
      <c r="S19" s="2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="5" customFormat="1" ht="22.5" customHeight="1" spans="1:62">
      <c r="A20" s="21"/>
      <c r="B20" s="15"/>
      <c r="C20" s="15"/>
      <c r="D20" s="15"/>
      <c r="E20" s="15"/>
      <c r="F20" s="15"/>
      <c r="G20" s="16">
        <f t="shared" si="0"/>
        <v>0</v>
      </c>
      <c r="H20" s="17"/>
      <c r="I20" s="15"/>
      <c r="J20" s="15"/>
      <c r="K20" s="15"/>
      <c r="L20" s="15"/>
      <c r="M20" s="15"/>
      <c r="N20" s="15"/>
      <c r="O20" s="18"/>
      <c r="P20" s="3"/>
      <c r="Q20" s="23"/>
      <c r="R20" s="3"/>
      <c r="S20" s="2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="4" customFormat="1" ht="22.5" customHeight="1" spans="1:62">
      <c r="A21" s="21"/>
      <c r="B21" s="15"/>
      <c r="C21" s="15"/>
      <c r="D21" s="15"/>
      <c r="E21" s="15"/>
      <c r="F21" s="15"/>
      <c r="G21" s="16">
        <f t="shared" si="0"/>
        <v>0</v>
      </c>
      <c r="H21" s="17"/>
      <c r="I21" s="15"/>
      <c r="J21" s="15"/>
      <c r="K21" s="15"/>
      <c r="L21" s="15"/>
      <c r="M21" s="15"/>
      <c r="N21" s="15"/>
      <c r="O21" s="18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="5" customFormat="1" ht="22.5" customHeight="1" spans="1:62">
      <c r="A22" s="21"/>
      <c r="B22" s="15"/>
      <c r="C22" s="15"/>
      <c r="D22" s="15"/>
      <c r="E22" s="15"/>
      <c r="F22" s="15"/>
      <c r="G22" s="16">
        <f t="shared" si="0"/>
        <v>0</v>
      </c>
      <c r="H22" s="17"/>
      <c r="I22" s="15"/>
      <c r="J22" s="25"/>
      <c r="K22" s="15"/>
      <c r="L22" s="15"/>
      <c r="M22" s="15"/>
      <c r="N22" s="15"/>
      <c r="O22" s="18"/>
      <c r="P22" s="26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="4" customFormat="1" ht="22.5" customHeight="1" spans="1:62">
      <c r="A23" s="27"/>
      <c r="B23" s="15"/>
      <c r="C23" s="15"/>
      <c r="D23" s="15"/>
      <c r="E23" s="15"/>
      <c r="F23" s="15"/>
      <c r="G23" s="16">
        <f t="shared" si="0"/>
        <v>0</v>
      </c>
      <c r="H23" s="17"/>
      <c r="I23" s="15"/>
      <c r="J23" s="15"/>
      <c r="K23" s="15"/>
      <c r="L23" s="15"/>
      <c r="M23" s="15"/>
      <c r="N23" s="15"/>
      <c r="O23" s="1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="5" customFormat="1" ht="22.5" customHeight="1" spans="1:62">
      <c r="A24" s="21"/>
      <c r="B24" s="15"/>
      <c r="C24" s="15"/>
      <c r="D24" s="15"/>
      <c r="E24" s="15"/>
      <c r="F24" s="15"/>
      <c r="G24" s="16">
        <f t="shared" si="0"/>
        <v>0</v>
      </c>
      <c r="H24" s="17"/>
      <c r="I24" s="15"/>
      <c r="J24" s="15"/>
      <c r="K24" s="15"/>
      <c r="L24" s="15"/>
      <c r="M24" s="15"/>
      <c r="N24" s="15"/>
      <c r="O24" s="18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="4" customFormat="1" ht="22.5" customHeight="1" spans="1:62">
      <c r="A25" s="21"/>
      <c r="B25" s="15"/>
      <c r="C25" s="15"/>
      <c r="D25" s="15"/>
      <c r="E25" s="15"/>
      <c r="F25" s="15"/>
      <c r="G25" s="16">
        <f t="shared" si="0"/>
        <v>0</v>
      </c>
      <c r="H25" s="17"/>
      <c r="I25" s="15"/>
      <c r="J25" s="15"/>
      <c r="K25" s="15"/>
      <c r="L25" s="15"/>
      <c r="M25" s="15"/>
      <c r="N25" s="15"/>
      <c r="O25" s="18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="5" customFormat="1" ht="22.5" customHeight="1" spans="1:62">
      <c r="A26" s="21"/>
      <c r="B26" s="15"/>
      <c r="C26" s="15"/>
      <c r="D26" s="15"/>
      <c r="E26" s="15"/>
      <c r="F26" s="15"/>
      <c r="G26" s="16">
        <f t="shared" si="0"/>
        <v>0</v>
      </c>
      <c r="H26" s="17"/>
      <c r="I26" s="15"/>
      <c r="J26" s="15"/>
      <c r="K26" s="15"/>
      <c r="L26" s="15"/>
      <c r="M26" s="15"/>
      <c r="N26" s="15"/>
      <c r="O26" s="1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="4" customFormat="1" ht="22.5" customHeight="1" spans="1:62">
      <c r="A27" s="21"/>
      <c r="B27" s="15"/>
      <c r="C27" s="15"/>
      <c r="D27" s="15"/>
      <c r="E27" s="15"/>
      <c r="F27" s="15"/>
      <c r="G27" s="16">
        <f t="shared" si="0"/>
        <v>0</v>
      </c>
      <c r="H27" s="17"/>
      <c r="I27" s="15"/>
      <c r="J27" s="15"/>
      <c r="K27" s="15"/>
      <c r="L27" s="15"/>
      <c r="M27" s="15"/>
      <c r="N27" s="15"/>
      <c r="O27" s="18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="5" customFormat="1" ht="22.5" customHeight="1" spans="1:62">
      <c r="A28" s="21"/>
      <c r="B28" s="15"/>
      <c r="C28" s="15"/>
      <c r="D28" s="15"/>
      <c r="E28" s="15"/>
      <c r="F28" s="15"/>
      <c r="G28" s="16">
        <f t="shared" si="0"/>
        <v>0</v>
      </c>
      <c r="H28" s="17"/>
      <c r="I28" s="15"/>
      <c r="J28" s="15"/>
      <c r="K28" s="15"/>
      <c r="L28" s="15"/>
      <c r="M28" s="15"/>
      <c r="N28" s="15"/>
      <c r="O28" s="1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="4" customFormat="1" ht="22.5" customHeight="1" spans="1:62">
      <c r="A29" s="21"/>
      <c r="B29" s="15"/>
      <c r="C29" s="15"/>
      <c r="D29" s="15"/>
      <c r="E29" s="15"/>
      <c r="F29" s="15"/>
      <c r="G29" s="16">
        <f t="shared" si="0"/>
        <v>0</v>
      </c>
      <c r="H29" s="17"/>
      <c r="I29" s="15"/>
      <c r="J29" s="15"/>
      <c r="K29" s="15"/>
      <c r="L29" s="15"/>
      <c r="M29" s="15"/>
      <c r="N29" s="15"/>
      <c r="O29" s="1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="5" customFormat="1" ht="22.5" customHeight="1" spans="1:62">
      <c r="A30" s="21"/>
      <c r="B30" s="15"/>
      <c r="C30" s="15"/>
      <c r="D30" s="15"/>
      <c r="E30" s="15"/>
      <c r="F30" s="15"/>
      <c r="G30" s="16">
        <f t="shared" si="0"/>
        <v>0</v>
      </c>
      <c r="H30" s="17"/>
      <c r="I30" s="15"/>
      <c r="J30" s="15"/>
      <c r="K30" s="15"/>
      <c r="L30" s="15"/>
      <c r="M30" s="15"/>
      <c r="N30" s="15"/>
      <c r="O30" s="1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="4" customFormat="1" ht="22.5" customHeight="1" spans="1:62">
      <c r="A31" s="21"/>
      <c r="B31" s="15"/>
      <c r="C31" s="15"/>
      <c r="D31" s="15"/>
      <c r="E31" s="15"/>
      <c r="F31" s="15"/>
      <c r="G31" s="16">
        <f t="shared" si="0"/>
        <v>0</v>
      </c>
      <c r="H31" s="17"/>
      <c r="I31" s="15"/>
      <c r="J31" s="15"/>
      <c r="K31" s="15"/>
      <c r="L31" s="15"/>
      <c r="M31" s="15"/>
      <c r="N31" s="15"/>
      <c r="O31" s="1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="5" customFormat="1" ht="22.5" customHeight="1" spans="1:62">
      <c r="A32" s="21"/>
      <c r="B32" s="15"/>
      <c r="C32" s="15"/>
      <c r="D32" s="15"/>
      <c r="E32" s="15"/>
      <c r="F32" s="15"/>
      <c r="G32" s="16">
        <f t="shared" si="0"/>
        <v>0</v>
      </c>
      <c r="H32" s="17"/>
      <c r="I32" s="15"/>
      <c r="J32" s="15"/>
      <c r="K32" s="15"/>
      <c r="L32" s="15"/>
      <c r="M32" s="15"/>
      <c r="N32" s="15"/>
      <c r="O32" s="18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customFormat="1" ht="22.5" customHeight="1" spans="1:62">
      <c r="A33" s="21"/>
      <c r="B33" s="15"/>
      <c r="C33" s="15"/>
      <c r="D33" s="15">
        <f t="shared" ref="D33:H33" si="1">SUM(D3:D32)</f>
        <v>0</v>
      </c>
      <c r="E33" s="15">
        <f t="shared" si="1"/>
        <v>0</v>
      </c>
      <c r="F33" s="15"/>
      <c r="G33" s="16">
        <f t="shared" si="1"/>
        <v>0</v>
      </c>
      <c r="H33" s="17">
        <f t="shared" si="1"/>
        <v>0</v>
      </c>
      <c r="I33" s="15"/>
      <c r="J33" s="15"/>
      <c r="K33" s="15"/>
      <c r="L33" s="15"/>
      <c r="M33" s="15"/>
      <c r="N33" s="15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</row>
    <row r="34" spans="1:62">
      <c r="A34" s="29"/>
      <c r="B34" s="30"/>
      <c r="C34" s="30"/>
      <c r="D34" s="30"/>
      <c r="E34" s="30"/>
      <c r="F34" s="30"/>
      <c r="G34" s="31"/>
      <c r="H34" s="30"/>
      <c r="I34" s="30"/>
      <c r="J34" s="30"/>
      <c r="K34" s="30"/>
      <c r="L34" s="30"/>
      <c r="M34" s="30"/>
      <c r="N34" s="30"/>
    </row>
    <row r="35" spans="1:62">
      <c r="G35" s="32"/>
    </row>
    <row r="36" spans="1:62">
      <c r="G36" s="32"/>
    </row>
    <row r="37" spans="1:62">
      <c r="G37" s="32"/>
    </row>
    <row r="38" spans="1:62">
      <c r="G38" s="32"/>
    </row>
    <row r="39" spans="1:62">
      <c r="G39" s="32"/>
    </row>
    <row r="40" spans="1:62">
      <c r="G40" s="32"/>
    </row>
    <row r="41" spans="1:62">
      <c r="G41" s="32"/>
    </row>
    <row r="42" spans="1:62">
      <c r="G42" s="32"/>
    </row>
    <row r="43" spans="1:62">
      <c r="G43" s="32"/>
    </row>
    <row r="44" spans="1:62">
      <c r="G44" s="32"/>
    </row>
    <row r="45" spans="1:62">
      <c r="G45" s="32"/>
    </row>
    <row r="46" spans="1:62">
      <c r="G46" s="32"/>
    </row>
    <row r="47" spans="1:62">
      <c r="G47" s="32"/>
    </row>
    <row r="48" spans="1:62">
      <c r="G48" s="32"/>
    </row>
    <row r="49" spans="7:7">
      <c r="G49" s="32"/>
    </row>
    <row r="50" spans="7:7">
      <c r="G50" s="32"/>
    </row>
    <row r="51" spans="7:7">
      <c r="G51" s="32"/>
    </row>
    <row r="52" spans="7:7">
      <c r="G52" s="32"/>
    </row>
    <row r="53" spans="7:7">
      <c r="G53" s="32"/>
    </row>
    <row r="54" spans="7:7">
      <c r="G54" s="32"/>
    </row>
    <row r="55" spans="7:7">
      <c r="G55" s="32"/>
    </row>
    <row r="56" spans="7:7">
      <c r="G56" s="32"/>
    </row>
    <row r="57" spans="7:7">
      <c r="G57" s="32"/>
    </row>
    <row r="58" spans="7:7">
      <c r="G58" s="32"/>
    </row>
    <row r="59" spans="7:7">
      <c r="G59" s="32"/>
    </row>
    <row r="60" spans="7:7">
      <c r="G60" s="32"/>
    </row>
    <row r="61" spans="7:7">
      <c r="G61" s="32"/>
    </row>
    <row r="62" spans="7:7">
      <c r="G62" s="32"/>
    </row>
    <row r="63" spans="7:7">
      <c r="G63" s="32"/>
    </row>
    <row r="64" spans="7:7">
      <c r="G64" s="32"/>
    </row>
    <row r="65" spans="7:7">
      <c r="G65" s="32"/>
    </row>
    <row r="66" spans="7:7">
      <c r="G66" s="32"/>
    </row>
    <row r="67" spans="7:7">
      <c r="G67" s="32"/>
    </row>
    <row r="68" spans="7:7">
      <c r="G68" s="32"/>
    </row>
    <row r="69" spans="7:7">
      <c r="G69" s="32"/>
    </row>
    <row r="70" spans="7:7">
      <c r="G70" s="32"/>
    </row>
    <row r="71" spans="7:7">
      <c r="G71" s="32"/>
    </row>
    <row r="72" spans="7:7">
      <c r="G72" s="32"/>
    </row>
    <row r="73" spans="7:7">
      <c r="G73" s="32"/>
    </row>
    <row r="74" spans="7:7">
      <c r="G74" s="32"/>
    </row>
    <row r="75" spans="7:7">
      <c r="G75" s="32"/>
    </row>
    <row r="76" spans="7:7">
      <c r="G76" s="32"/>
    </row>
    <row r="77" spans="7:7">
      <c r="G77" s="32"/>
    </row>
    <row r="78" spans="7:7">
      <c r="G78" s="32"/>
    </row>
    <row r="79" spans="7:7">
      <c r="G79" s="32"/>
    </row>
    <row r="80" spans="7:7">
      <c r="G80" s="32"/>
    </row>
    <row r="81" spans="7:7">
      <c r="G81" s="32"/>
    </row>
    <row r="82" spans="7:7">
      <c r="G82" s="32"/>
    </row>
    <row r="83" spans="7:7">
      <c r="G83" s="32"/>
    </row>
    <row r="84" spans="7:7">
      <c r="G84" s="32"/>
    </row>
    <row r="85" spans="7:7">
      <c r="G85" s="32"/>
    </row>
    <row r="86" spans="7:7">
      <c r="G86" s="32"/>
    </row>
    <row r="87" spans="7:7">
      <c r="G87" s="32"/>
    </row>
    <row r="88" spans="7:7">
      <c r="G88" s="32"/>
    </row>
    <row r="89" spans="7:7">
      <c r="G89" s="32"/>
    </row>
    <row r="90" spans="7:7">
      <c r="G90" s="32"/>
    </row>
    <row r="91" spans="7:7">
      <c r="G91" s="32"/>
    </row>
    <row r="92" spans="7:7">
      <c r="G92" s="32"/>
    </row>
    <row r="93" spans="7:7">
      <c r="G93" s="32"/>
    </row>
    <row r="94" spans="7:7">
      <c r="G94" s="32"/>
    </row>
    <row r="95" spans="7:7">
      <c r="G95" s="32"/>
    </row>
    <row r="96" spans="7:7">
      <c r="G96" s="32"/>
    </row>
    <row r="97" spans="7:7">
      <c r="G97" s="32"/>
    </row>
    <row r="98" spans="7:7">
      <c r="G98" s="32"/>
    </row>
    <row r="99" spans="7:7">
      <c r="G99" s="32"/>
    </row>
    <row r="100" spans="7:7">
      <c r="G100" s="32"/>
    </row>
    <row r="101" spans="7:7">
      <c r="G101" s="32"/>
    </row>
    <row r="102" spans="7:7">
      <c r="G102" s="32"/>
    </row>
    <row r="103" spans="7:7">
      <c r="G103" s="32"/>
    </row>
    <row r="104" spans="7:7">
      <c r="G104" s="32"/>
    </row>
    <row r="105" spans="7:7">
      <c r="G105" s="32"/>
    </row>
    <row r="106" spans="7:7">
      <c r="G106" s="32"/>
    </row>
    <row r="107" spans="7:7">
      <c r="G107" s="32"/>
    </row>
    <row r="108" spans="7:7">
      <c r="G108" s="32"/>
    </row>
    <row r="109" spans="7:7">
      <c r="G109" s="32"/>
    </row>
    <row r="110" spans="7:7">
      <c r="G110" s="32"/>
    </row>
    <row r="111" spans="7:7">
      <c r="G111" s="32"/>
    </row>
    <row r="112" spans="7:7">
      <c r="G112" s="32"/>
    </row>
    <row r="113" spans="7:7">
      <c r="G113" s="32"/>
    </row>
  </sheetData>
  <mergeCells count="1">
    <mergeCell ref="A1:N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13"/>
  <sheetViews>
    <sheetView topLeftCell="A16" workbookViewId="0">
      <selection activeCell="K14" sqref="K14"/>
    </sheetView>
  </sheetViews>
  <sheetFormatPr defaultColWidth="8.725" defaultRowHeight="13.5"/>
  <cols>
    <col min="1" max="1" width="13.375" style="6" customWidth="1"/>
    <col min="2" max="2" width="10.4666666666667" style="7" customWidth="1"/>
    <col min="3" max="3" width="16.2833333333333" style="7" customWidth="1"/>
    <col min="4" max="5" width="13.0083333333333" style="7" customWidth="1"/>
    <col min="6" max="6" width="13.9166666666667" style="7" customWidth="1"/>
    <col min="7" max="7" width="13.0083333333333" style="8" customWidth="1"/>
    <col min="8" max="10" width="13.0083333333333" style="7" customWidth="1"/>
    <col min="11" max="11" width="11.0083333333333" style="7" customWidth="1"/>
    <col min="12" max="12" width="10.4666666666667" style="7" customWidth="1"/>
    <col min="13" max="13" width="13.0083333333333" style="7" customWidth="1"/>
    <col min="14" max="14" width="15.9166666666667" style="7" customWidth="1"/>
  </cols>
  <sheetData>
    <row r="1" s="1" customFormat="1" ht="28.5" customHeight="1" spans="1:6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="2" customFormat="1" ht="22.5" customHeight="1" spans="1:62">
      <c r="A2" s="10" t="s">
        <v>1</v>
      </c>
      <c r="B2" s="11" t="s">
        <v>2</v>
      </c>
      <c r="C2" s="11" t="s">
        <v>3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2"/>
      <c r="R2" s="13"/>
    </row>
    <row r="3" s="3" customFormat="1" ht="22.5" customHeight="1" spans="1:62">
      <c r="A3" s="14"/>
      <c r="B3" s="15"/>
      <c r="C3" s="15"/>
      <c r="D3" s="15"/>
      <c r="E3" s="15"/>
      <c r="F3" s="15"/>
      <c r="G3" s="16">
        <f t="shared" ref="G3:G32" si="0">SUM(D3*F3)</f>
        <v>0</v>
      </c>
      <c r="H3" s="17"/>
      <c r="I3" s="15"/>
      <c r="J3" s="15"/>
      <c r="K3" s="15"/>
      <c r="L3" s="15"/>
      <c r="M3" s="15"/>
      <c r="N3" s="15"/>
      <c r="O3" s="18"/>
    </row>
    <row r="4" s="4" customFormat="1" ht="22.5" customHeight="1" spans="1:62">
      <c r="A4" s="14"/>
      <c r="B4" s="15"/>
      <c r="C4" s="15"/>
      <c r="D4" s="15"/>
      <c r="E4" s="15"/>
      <c r="F4" s="15"/>
      <c r="G4" s="16">
        <f t="shared" si="0"/>
        <v>0</v>
      </c>
      <c r="H4" s="17"/>
      <c r="I4" s="15"/>
      <c r="J4" s="15"/>
      <c r="K4" s="15"/>
      <c r="L4" s="15"/>
      <c r="M4" s="15"/>
      <c r="N4" s="15"/>
      <c r="O4" s="1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="5" customFormat="1" ht="22.5" customHeight="1" spans="1:62">
      <c r="A5" s="14"/>
      <c r="B5" s="15"/>
      <c r="C5" s="15"/>
      <c r="D5" s="15"/>
      <c r="E5" s="15"/>
      <c r="F5" s="15"/>
      <c r="G5" s="16">
        <f t="shared" si="0"/>
        <v>0</v>
      </c>
      <c r="H5" s="17"/>
      <c r="I5" s="15"/>
      <c r="J5" s="15"/>
      <c r="K5" s="15"/>
      <c r="L5" s="15"/>
      <c r="M5" s="15"/>
      <c r="N5" s="15"/>
      <c r="O5" s="1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="4" customFormat="1" ht="22.5" customHeight="1" spans="1:62">
      <c r="A6" s="14"/>
      <c r="B6" s="15"/>
      <c r="C6" s="15"/>
      <c r="D6" s="15"/>
      <c r="E6" s="15"/>
      <c r="F6" s="15"/>
      <c r="G6" s="16">
        <f t="shared" si="0"/>
        <v>0</v>
      </c>
      <c r="H6" s="17"/>
      <c r="I6" s="15"/>
      <c r="J6" s="15"/>
      <c r="K6" s="15"/>
      <c r="L6" s="15"/>
      <c r="M6" s="15"/>
      <c r="N6" s="15"/>
      <c r="O6" s="18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="5" customFormat="1" ht="22.5" customHeight="1" spans="1:62">
      <c r="A7" s="14"/>
      <c r="B7" s="15"/>
      <c r="C7" s="15"/>
      <c r="D7" s="15"/>
      <c r="E7" s="15"/>
      <c r="F7" s="15"/>
      <c r="G7" s="16">
        <f t="shared" si="0"/>
        <v>0</v>
      </c>
      <c r="H7" s="17"/>
      <c r="I7" s="15"/>
      <c r="J7" s="15"/>
      <c r="K7" s="15"/>
      <c r="L7" s="15"/>
      <c r="M7" s="15"/>
      <c r="N7" s="15"/>
      <c r="O7" s="18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="5" customFormat="1" ht="22.5" customHeight="1" spans="1:62">
      <c r="A8" s="14"/>
      <c r="B8" s="15"/>
      <c r="C8" s="15"/>
      <c r="D8" s="15"/>
      <c r="E8" s="15"/>
      <c r="F8" s="15"/>
      <c r="G8" s="16">
        <f t="shared" si="0"/>
        <v>0</v>
      </c>
      <c r="H8" s="17"/>
      <c r="I8" s="15"/>
      <c r="J8" s="15"/>
      <c r="K8" s="19"/>
      <c r="L8" s="15"/>
      <c r="M8" s="15"/>
      <c r="N8" s="15"/>
      <c r="O8" s="1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="4" customFormat="1" ht="22.5" customHeight="1" spans="1:62">
      <c r="A9" s="14"/>
      <c r="B9" s="15"/>
      <c r="C9" s="15"/>
      <c r="D9" s="15"/>
      <c r="E9" s="15"/>
      <c r="F9" s="15"/>
      <c r="G9" s="16">
        <f t="shared" si="0"/>
        <v>0</v>
      </c>
      <c r="H9" s="17"/>
      <c r="I9" s="15"/>
      <c r="J9" s="15"/>
      <c r="K9" s="15"/>
      <c r="L9" s="15"/>
      <c r="M9" s="15"/>
      <c r="N9" s="15"/>
      <c r="O9" s="18"/>
      <c r="P9" s="3"/>
      <c r="Q9" s="20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="5" customFormat="1" ht="22.5" customHeight="1" spans="1:62">
      <c r="A10" s="21"/>
      <c r="B10" s="15"/>
      <c r="C10" s="15"/>
      <c r="D10" s="15"/>
      <c r="E10" s="15"/>
      <c r="F10" s="15"/>
      <c r="G10" s="16">
        <f t="shared" si="0"/>
        <v>0</v>
      </c>
      <c r="H10" s="17"/>
      <c r="I10" s="15"/>
      <c r="J10" s="15"/>
      <c r="K10" s="15"/>
      <c r="L10" s="15"/>
      <c r="M10" s="15"/>
      <c r="N10" s="15"/>
      <c r="O10" s="18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="4" customFormat="1" ht="22.5" customHeight="1" spans="1:62">
      <c r="A11" s="21"/>
      <c r="B11" s="15"/>
      <c r="C11" s="15"/>
      <c r="D11" s="15"/>
      <c r="E11" s="15"/>
      <c r="F11" s="15"/>
      <c r="G11" s="16">
        <f t="shared" si="0"/>
        <v>0</v>
      </c>
      <c r="H11" s="17"/>
      <c r="I11" s="15"/>
      <c r="J11" s="15"/>
      <c r="K11" s="15"/>
      <c r="L11" s="15"/>
      <c r="M11" s="15"/>
      <c r="N11" s="15"/>
      <c r="O11" s="18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="4" customFormat="1" ht="22.5" customHeight="1" spans="1:62">
      <c r="A12" s="21"/>
      <c r="B12" s="15"/>
      <c r="C12" s="15"/>
      <c r="D12" s="15"/>
      <c r="E12" s="15"/>
      <c r="F12" s="15"/>
      <c r="G12" s="16">
        <f t="shared" si="0"/>
        <v>0</v>
      </c>
      <c r="H12" s="17"/>
      <c r="I12" s="15"/>
      <c r="J12" s="15"/>
      <c r="K12" s="19"/>
      <c r="L12" s="15"/>
      <c r="M12" s="15"/>
      <c r="N12" s="15"/>
      <c r="O12" s="18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="4" customFormat="1" ht="22.5" customHeight="1" spans="1:62">
      <c r="A13" s="21"/>
      <c r="B13" s="15"/>
      <c r="C13" s="15"/>
      <c r="D13" s="15"/>
      <c r="E13" s="15"/>
      <c r="F13" s="15"/>
      <c r="G13" s="16">
        <f t="shared" si="0"/>
        <v>0</v>
      </c>
      <c r="H13" s="17"/>
      <c r="I13" s="15"/>
      <c r="J13" s="15"/>
      <c r="K13" s="19"/>
      <c r="L13" s="15"/>
      <c r="M13" s="15"/>
      <c r="N13" s="15"/>
      <c r="O13" s="1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="4" customFormat="1" ht="22.5" customHeight="1" spans="1:62">
      <c r="A14" s="21"/>
      <c r="B14" s="15"/>
      <c r="C14" s="15"/>
      <c r="D14" s="15"/>
      <c r="E14" s="15"/>
      <c r="F14" s="15"/>
      <c r="G14" s="16">
        <f t="shared" si="0"/>
        <v>0</v>
      </c>
      <c r="H14" s="17"/>
      <c r="I14" s="15"/>
      <c r="J14" s="15"/>
      <c r="K14" s="15"/>
      <c r="L14" s="15"/>
      <c r="M14" s="15"/>
      <c r="N14" s="15"/>
      <c r="O14" s="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="5" customFormat="1" ht="22.5" customHeight="1" spans="1:62">
      <c r="A15" s="21"/>
      <c r="B15" s="15"/>
      <c r="C15" s="15"/>
      <c r="D15" s="15"/>
      <c r="E15" s="15"/>
      <c r="F15" s="15"/>
      <c r="G15" s="16">
        <f t="shared" si="0"/>
        <v>0</v>
      </c>
      <c r="H15" s="17"/>
      <c r="I15" s="15"/>
      <c r="J15" s="15"/>
      <c r="K15" s="15"/>
      <c r="L15" s="15"/>
      <c r="M15" s="15"/>
      <c r="N15" s="15"/>
      <c r="O15" s="18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="4" customFormat="1" ht="22.5" customHeight="1" spans="1:62">
      <c r="A16" s="21"/>
      <c r="B16" s="15"/>
      <c r="C16" s="15"/>
      <c r="D16" s="15"/>
      <c r="E16" s="15"/>
      <c r="F16" s="15"/>
      <c r="G16" s="16">
        <f t="shared" si="0"/>
        <v>0</v>
      </c>
      <c r="H16" s="17"/>
      <c r="I16" s="15"/>
      <c r="J16" s="15"/>
      <c r="K16" s="15"/>
      <c r="L16" s="15"/>
      <c r="M16" s="15"/>
      <c r="N16" s="15"/>
      <c r="O16" s="18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="5" customFormat="1" ht="22.5" customHeight="1" spans="1:62">
      <c r="A17" s="21"/>
      <c r="B17" s="15"/>
      <c r="C17" s="15"/>
      <c r="D17" s="15"/>
      <c r="E17" s="15"/>
      <c r="F17" s="15"/>
      <c r="G17" s="16">
        <f t="shared" si="0"/>
        <v>0</v>
      </c>
      <c r="H17" s="17"/>
      <c r="I17" s="15"/>
      <c r="J17" s="15"/>
      <c r="K17" s="15"/>
      <c r="L17" s="15"/>
      <c r="M17" s="15"/>
      <c r="N17" s="15"/>
      <c r="O17" s="18"/>
      <c r="P17" s="3"/>
      <c r="Q17" s="20"/>
      <c r="R17" s="3"/>
      <c r="S17" s="2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="5" customFormat="1" ht="22.5" customHeight="1" spans="1:62">
      <c r="A18" s="21"/>
      <c r="B18" s="15"/>
      <c r="C18" s="15"/>
      <c r="D18" s="15"/>
      <c r="E18" s="15"/>
      <c r="F18" s="15"/>
      <c r="G18" s="16">
        <f t="shared" si="0"/>
        <v>0</v>
      </c>
      <c r="H18" s="17"/>
      <c r="I18" s="15"/>
      <c r="J18" s="15"/>
      <c r="K18" s="15"/>
      <c r="L18" s="15"/>
      <c r="M18" s="15"/>
      <c r="N18" s="15"/>
      <c r="O18" s="18"/>
      <c r="P18" s="3"/>
      <c r="Q18" s="23"/>
      <c r="R18" s="3"/>
      <c r="S18" s="2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="5" customFormat="1" ht="22.5" customHeight="1" spans="1:62">
      <c r="A19" s="21"/>
      <c r="B19" s="15"/>
      <c r="C19" s="15"/>
      <c r="D19" s="15"/>
      <c r="E19" s="15"/>
      <c r="F19" s="15"/>
      <c r="G19" s="16">
        <f t="shared" si="0"/>
        <v>0</v>
      </c>
      <c r="H19" s="17"/>
      <c r="I19" s="15"/>
      <c r="J19" s="15"/>
      <c r="K19" s="15"/>
      <c r="L19" s="15"/>
      <c r="M19" s="15"/>
      <c r="N19" s="15"/>
      <c r="O19" s="18"/>
      <c r="P19" s="3"/>
      <c r="Q19" s="23"/>
      <c r="R19" s="3"/>
      <c r="S19" s="2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="5" customFormat="1" ht="22.5" customHeight="1" spans="1:62">
      <c r="A20" s="21"/>
      <c r="B20" s="15"/>
      <c r="C20" s="15"/>
      <c r="D20" s="15"/>
      <c r="E20" s="15"/>
      <c r="F20" s="15"/>
      <c r="G20" s="16">
        <f t="shared" si="0"/>
        <v>0</v>
      </c>
      <c r="H20" s="17"/>
      <c r="I20" s="15"/>
      <c r="J20" s="15"/>
      <c r="K20" s="15"/>
      <c r="L20" s="15"/>
      <c r="M20" s="15"/>
      <c r="N20" s="15"/>
      <c r="O20" s="18"/>
      <c r="P20" s="3"/>
      <c r="Q20" s="23"/>
      <c r="R20" s="3"/>
      <c r="S20" s="2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="4" customFormat="1" ht="22.5" customHeight="1" spans="1:62">
      <c r="A21" s="21"/>
      <c r="B21" s="15"/>
      <c r="C21" s="15"/>
      <c r="D21" s="15"/>
      <c r="E21" s="15"/>
      <c r="F21" s="15"/>
      <c r="G21" s="16">
        <f t="shared" si="0"/>
        <v>0</v>
      </c>
      <c r="H21" s="17"/>
      <c r="I21" s="15"/>
      <c r="J21" s="15"/>
      <c r="K21" s="15"/>
      <c r="L21" s="15"/>
      <c r="M21" s="15"/>
      <c r="N21" s="15"/>
      <c r="O21" s="18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="5" customFormat="1" ht="22.5" customHeight="1" spans="1:62">
      <c r="A22" s="21"/>
      <c r="B22" s="15"/>
      <c r="C22" s="15"/>
      <c r="D22" s="15"/>
      <c r="E22" s="15"/>
      <c r="F22" s="15"/>
      <c r="G22" s="16">
        <f t="shared" si="0"/>
        <v>0</v>
      </c>
      <c r="H22" s="17"/>
      <c r="I22" s="15"/>
      <c r="J22" s="25"/>
      <c r="K22" s="15"/>
      <c r="L22" s="15"/>
      <c r="M22" s="15"/>
      <c r="N22" s="15"/>
      <c r="O22" s="18"/>
      <c r="P22" s="26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="4" customFormat="1" ht="22.5" customHeight="1" spans="1:62">
      <c r="A23" s="27"/>
      <c r="B23" s="15"/>
      <c r="C23" s="15"/>
      <c r="D23" s="15"/>
      <c r="E23" s="15"/>
      <c r="F23" s="15"/>
      <c r="G23" s="16">
        <f t="shared" si="0"/>
        <v>0</v>
      </c>
      <c r="H23" s="17"/>
      <c r="I23" s="15"/>
      <c r="J23" s="15"/>
      <c r="K23" s="15"/>
      <c r="L23" s="15"/>
      <c r="M23" s="15"/>
      <c r="N23" s="15"/>
      <c r="O23" s="1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="5" customFormat="1" ht="22.5" customHeight="1" spans="1:62">
      <c r="A24" s="21"/>
      <c r="B24" s="15"/>
      <c r="C24" s="15"/>
      <c r="D24" s="15"/>
      <c r="E24" s="15"/>
      <c r="F24" s="15"/>
      <c r="G24" s="16">
        <f t="shared" si="0"/>
        <v>0</v>
      </c>
      <c r="H24" s="17"/>
      <c r="I24" s="15"/>
      <c r="J24" s="15"/>
      <c r="K24" s="15"/>
      <c r="L24" s="15"/>
      <c r="M24" s="15"/>
      <c r="N24" s="15"/>
      <c r="O24" s="18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="4" customFormat="1" ht="22.5" customHeight="1" spans="1:62">
      <c r="A25" s="21"/>
      <c r="B25" s="15"/>
      <c r="C25" s="15"/>
      <c r="D25" s="15"/>
      <c r="E25" s="15"/>
      <c r="F25" s="15"/>
      <c r="G25" s="16">
        <f t="shared" si="0"/>
        <v>0</v>
      </c>
      <c r="H25" s="17"/>
      <c r="I25" s="15"/>
      <c r="J25" s="15"/>
      <c r="K25" s="15"/>
      <c r="L25" s="15"/>
      <c r="M25" s="15"/>
      <c r="N25" s="15"/>
      <c r="O25" s="18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="5" customFormat="1" ht="22.5" customHeight="1" spans="1:62">
      <c r="A26" s="21"/>
      <c r="B26" s="15"/>
      <c r="C26" s="15"/>
      <c r="D26" s="15"/>
      <c r="E26" s="15"/>
      <c r="F26" s="15"/>
      <c r="G26" s="16">
        <f t="shared" si="0"/>
        <v>0</v>
      </c>
      <c r="H26" s="17"/>
      <c r="I26" s="15"/>
      <c r="J26" s="15"/>
      <c r="K26" s="15"/>
      <c r="L26" s="15"/>
      <c r="M26" s="15"/>
      <c r="N26" s="15"/>
      <c r="O26" s="1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="4" customFormat="1" ht="22.5" customHeight="1" spans="1:62">
      <c r="A27" s="21"/>
      <c r="B27" s="15"/>
      <c r="C27" s="15"/>
      <c r="D27" s="15"/>
      <c r="E27" s="15"/>
      <c r="F27" s="15"/>
      <c r="G27" s="16">
        <f t="shared" si="0"/>
        <v>0</v>
      </c>
      <c r="H27" s="17"/>
      <c r="I27" s="15"/>
      <c r="J27" s="15"/>
      <c r="K27" s="15"/>
      <c r="L27" s="15"/>
      <c r="M27" s="15"/>
      <c r="N27" s="15"/>
      <c r="O27" s="18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="5" customFormat="1" ht="22.5" customHeight="1" spans="1:62">
      <c r="A28" s="21"/>
      <c r="B28" s="15"/>
      <c r="C28" s="15"/>
      <c r="D28" s="15"/>
      <c r="E28" s="15"/>
      <c r="F28" s="15"/>
      <c r="G28" s="16">
        <f t="shared" si="0"/>
        <v>0</v>
      </c>
      <c r="H28" s="17"/>
      <c r="I28" s="15"/>
      <c r="J28" s="15"/>
      <c r="K28" s="15"/>
      <c r="L28" s="15"/>
      <c r="M28" s="15"/>
      <c r="N28" s="15"/>
      <c r="O28" s="1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="4" customFormat="1" ht="22.5" customHeight="1" spans="1:62">
      <c r="A29" s="21"/>
      <c r="B29" s="15"/>
      <c r="C29" s="15"/>
      <c r="D29" s="15"/>
      <c r="E29" s="15"/>
      <c r="F29" s="15"/>
      <c r="G29" s="16">
        <f t="shared" si="0"/>
        <v>0</v>
      </c>
      <c r="H29" s="17"/>
      <c r="I29" s="15"/>
      <c r="J29" s="15"/>
      <c r="K29" s="15"/>
      <c r="L29" s="15"/>
      <c r="M29" s="15"/>
      <c r="N29" s="15"/>
      <c r="O29" s="1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="5" customFormat="1" ht="22.5" customHeight="1" spans="1:62">
      <c r="A30" s="21"/>
      <c r="B30" s="15"/>
      <c r="C30" s="15"/>
      <c r="D30" s="15"/>
      <c r="E30" s="15"/>
      <c r="F30" s="15"/>
      <c r="G30" s="16">
        <f t="shared" si="0"/>
        <v>0</v>
      </c>
      <c r="H30" s="17"/>
      <c r="I30" s="15"/>
      <c r="J30" s="15"/>
      <c r="K30" s="15"/>
      <c r="L30" s="15"/>
      <c r="M30" s="15"/>
      <c r="N30" s="15"/>
      <c r="O30" s="1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="4" customFormat="1" ht="22.5" customHeight="1" spans="1:62">
      <c r="A31" s="21"/>
      <c r="B31" s="15"/>
      <c r="C31" s="15"/>
      <c r="D31" s="15"/>
      <c r="E31" s="15"/>
      <c r="F31" s="15"/>
      <c r="G31" s="16">
        <f t="shared" si="0"/>
        <v>0</v>
      </c>
      <c r="H31" s="17"/>
      <c r="I31" s="15"/>
      <c r="J31" s="15"/>
      <c r="K31" s="15"/>
      <c r="L31" s="15"/>
      <c r="M31" s="15"/>
      <c r="N31" s="15"/>
      <c r="O31" s="1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="5" customFormat="1" ht="22.5" customHeight="1" spans="1:62">
      <c r="A32" s="21"/>
      <c r="B32" s="15"/>
      <c r="C32" s="15"/>
      <c r="D32" s="15"/>
      <c r="E32" s="15"/>
      <c r="F32" s="15"/>
      <c r="G32" s="16">
        <f t="shared" si="0"/>
        <v>0</v>
      </c>
      <c r="H32" s="17"/>
      <c r="I32" s="15"/>
      <c r="J32" s="15"/>
      <c r="K32" s="15"/>
      <c r="L32" s="15"/>
      <c r="M32" s="15"/>
      <c r="N32" s="15"/>
      <c r="O32" s="18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customFormat="1" ht="22.5" customHeight="1" spans="1:62">
      <c r="A33" s="21"/>
      <c r="B33" s="15"/>
      <c r="C33" s="15"/>
      <c r="D33" s="15">
        <f>SUM(D3:D32)</f>
        <v>0</v>
      </c>
      <c r="E33" s="15">
        <f>SUM(E3:E32)</f>
        <v>0</v>
      </c>
      <c r="F33" s="15"/>
      <c r="G33" s="16">
        <f>SUM(G3:G32)</f>
        <v>0</v>
      </c>
      <c r="H33" s="17">
        <f>SUM(H3:H32)</f>
        <v>0</v>
      </c>
      <c r="I33" s="15"/>
      <c r="J33" s="15"/>
      <c r="K33" s="15"/>
      <c r="L33" s="15"/>
      <c r="M33" s="15"/>
      <c r="N33" s="15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</row>
    <row r="34" spans="1:62">
      <c r="A34" s="29"/>
      <c r="B34" s="30"/>
      <c r="C34" s="30"/>
      <c r="D34" s="30"/>
      <c r="E34" s="30"/>
      <c r="F34" s="30"/>
      <c r="G34" s="31"/>
      <c r="H34" s="30"/>
      <c r="I34" s="30"/>
      <c r="J34" s="30"/>
      <c r="K34" s="30"/>
      <c r="L34" s="30"/>
      <c r="M34" s="30"/>
      <c r="N34" s="30"/>
    </row>
    <row r="35" spans="1:62">
      <c r="G35" s="32"/>
    </row>
    <row r="36" spans="1:62">
      <c r="G36" s="32"/>
    </row>
    <row r="37" spans="1:62">
      <c r="G37" s="32"/>
    </row>
    <row r="38" spans="1:62">
      <c r="G38" s="32"/>
    </row>
    <row r="39" spans="1:62">
      <c r="G39" s="32"/>
    </row>
    <row r="40" spans="1:62">
      <c r="G40" s="32"/>
    </row>
    <row r="41" spans="1:62">
      <c r="G41" s="32"/>
    </row>
    <row r="42" spans="1:62">
      <c r="G42" s="32"/>
    </row>
    <row r="43" spans="1:62">
      <c r="G43" s="32"/>
    </row>
    <row r="44" spans="1:62">
      <c r="G44" s="32"/>
    </row>
    <row r="45" spans="1:62">
      <c r="G45" s="32"/>
    </row>
    <row r="46" spans="1:62">
      <c r="G46" s="32"/>
    </row>
    <row r="47" spans="1:62">
      <c r="G47" s="32"/>
    </row>
    <row r="48" spans="1:62">
      <c r="G48" s="32"/>
    </row>
    <row r="49" spans="7:7">
      <c r="G49" s="32"/>
    </row>
    <row r="50" spans="7:7">
      <c r="G50" s="32"/>
    </row>
    <row r="51" spans="7:7">
      <c r="G51" s="32"/>
    </row>
    <row r="52" spans="7:7">
      <c r="G52" s="32"/>
    </row>
    <row r="53" spans="7:7">
      <c r="G53" s="32"/>
    </row>
    <row r="54" spans="7:7">
      <c r="G54" s="32"/>
    </row>
    <row r="55" spans="7:7">
      <c r="G55" s="32"/>
    </row>
    <row r="56" spans="7:7">
      <c r="G56" s="32"/>
    </row>
    <row r="57" spans="7:7">
      <c r="G57" s="32"/>
    </row>
    <row r="58" spans="7:7">
      <c r="G58" s="32"/>
    </row>
    <row r="59" spans="7:7">
      <c r="G59" s="32"/>
    </row>
    <row r="60" spans="7:7">
      <c r="G60" s="32"/>
    </row>
    <row r="61" spans="7:7">
      <c r="G61" s="32"/>
    </row>
    <row r="62" spans="7:7">
      <c r="G62" s="32"/>
    </row>
    <row r="63" spans="7:7">
      <c r="G63" s="32"/>
    </row>
    <row r="64" spans="7:7">
      <c r="G64" s="32"/>
    </row>
    <row r="65" spans="7:7">
      <c r="G65" s="32"/>
    </row>
    <row r="66" spans="7:7">
      <c r="G66" s="32"/>
    </row>
    <row r="67" spans="7:7">
      <c r="G67" s="32"/>
    </row>
    <row r="68" spans="7:7">
      <c r="G68" s="32"/>
    </row>
    <row r="69" spans="7:7">
      <c r="G69" s="32"/>
    </row>
    <row r="70" spans="7:7">
      <c r="G70" s="32"/>
    </row>
    <row r="71" spans="7:7">
      <c r="G71" s="32"/>
    </row>
    <row r="72" spans="7:7">
      <c r="G72" s="32"/>
    </row>
    <row r="73" spans="7:7">
      <c r="G73" s="32"/>
    </row>
    <row r="74" spans="7:7">
      <c r="G74" s="32"/>
    </row>
    <row r="75" spans="7:7">
      <c r="G75" s="32"/>
    </row>
    <row r="76" spans="7:7">
      <c r="G76" s="32"/>
    </row>
    <row r="77" spans="7:7">
      <c r="G77" s="32"/>
    </row>
    <row r="78" spans="7:7">
      <c r="G78" s="32"/>
    </row>
    <row r="79" spans="7:7">
      <c r="G79" s="32"/>
    </row>
    <row r="80" spans="7:7">
      <c r="G80" s="32"/>
    </row>
    <row r="81" spans="7:7">
      <c r="G81" s="32"/>
    </row>
    <row r="82" spans="7:7">
      <c r="G82" s="32"/>
    </row>
    <row r="83" spans="7:7">
      <c r="G83" s="32"/>
    </row>
    <row r="84" spans="7:7">
      <c r="G84" s="32"/>
    </row>
    <row r="85" spans="7:7">
      <c r="G85" s="32"/>
    </row>
    <row r="86" spans="7:7">
      <c r="G86" s="32"/>
    </row>
    <row r="87" spans="7:7">
      <c r="G87" s="32"/>
    </row>
    <row r="88" spans="7:7">
      <c r="G88" s="32"/>
    </row>
    <row r="89" spans="7:7">
      <c r="G89" s="32"/>
    </row>
    <row r="90" spans="7:7">
      <c r="G90" s="32"/>
    </row>
    <row r="91" spans="7:7">
      <c r="G91" s="32"/>
    </row>
    <row r="92" spans="7:7">
      <c r="G92" s="32"/>
    </row>
    <row r="93" spans="7:7">
      <c r="G93" s="32"/>
    </row>
    <row r="94" spans="7:7">
      <c r="G94" s="32"/>
    </row>
    <row r="95" spans="7:7">
      <c r="G95" s="32"/>
    </row>
    <row r="96" spans="7:7">
      <c r="G96" s="32"/>
    </row>
    <row r="97" spans="7:7">
      <c r="G97" s="32"/>
    </row>
    <row r="98" spans="7:7">
      <c r="G98" s="32"/>
    </row>
    <row r="99" spans="7:7">
      <c r="G99" s="32"/>
    </row>
    <row r="100" spans="7:7">
      <c r="G100" s="32"/>
    </row>
    <row r="101" spans="7:7">
      <c r="G101" s="32"/>
    </row>
    <row r="102" spans="7:7">
      <c r="G102" s="32"/>
    </row>
    <row r="103" spans="7:7">
      <c r="G103" s="32"/>
    </row>
    <row r="104" spans="7:7">
      <c r="G104" s="32"/>
    </row>
    <row r="105" spans="7:7">
      <c r="G105" s="32"/>
    </row>
    <row r="106" spans="7:7">
      <c r="G106" s="32"/>
    </row>
    <row r="107" spans="7:7">
      <c r="G107" s="32"/>
    </row>
    <row r="108" spans="7:7">
      <c r="G108" s="32"/>
    </row>
    <row r="109" spans="7:7">
      <c r="G109" s="32"/>
    </row>
    <row r="110" spans="7:7">
      <c r="G110" s="32"/>
    </row>
    <row r="111" spans="7:7">
      <c r="G111" s="32"/>
    </row>
    <row r="112" spans="7:7">
      <c r="G112" s="32"/>
    </row>
    <row r="113" spans="7:7">
      <c r="G113" s="32"/>
    </row>
  </sheetData>
  <mergeCells count="1">
    <mergeCell ref="A1:N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13"/>
  <sheetViews>
    <sheetView topLeftCell="A14" workbookViewId="0">
      <selection activeCell="K14" sqref="K14"/>
    </sheetView>
  </sheetViews>
  <sheetFormatPr defaultColWidth="8.725" defaultRowHeight="13.5"/>
  <cols>
    <col min="1" max="1" width="13.375" style="6" customWidth="1"/>
    <col min="2" max="2" width="10.4666666666667" style="7" customWidth="1"/>
    <col min="3" max="3" width="16.2833333333333" style="7" customWidth="1"/>
    <col min="4" max="5" width="13.0083333333333" style="7" customWidth="1"/>
    <col min="6" max="6" width="13.9166666666667" style="7" customWidth="1"/>
    <col min="7" max="7" width="13.0083333333333" style="8" customWidth="1"/>
    <col min="8" max="10" width="13.0083333333333" style="7" customWidth="1"/>
    <col min="11" max="11" width="11.0083333333333" style="7" customWidth="1"/>
    <col min="12" max="12" width="10.4666666666667" style="7" customWidth="1"/>
    <col min="13" max="13" width="13.0083333333333" style="7" customWidth="1"/>
    <col min="14" max="14" width="15.9166666666667" style="7" customWidth="1"/>
  </cols>
  <sheetData>
    <row r="1" s="1" customFormat="1" ht="28.5" customHeight="1" spans="1:6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="2" customFormat="1" ht="22.5" customHeight="1" spans="1:62">
      <c r="A2" s="10" t="s">
        <v>1</v>
      </c>
      <c r="B2" s="11" t="s">
        <v>2</v>
      </c>
      <c r="C2" s="11" t="s">
        <v>3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2"/>
      <c r="R2" s="13"/>
    </row>
    <row r="3" s="3" customFormat="1" ht="22.5" customHeight="1" spans="1:62">
      <c r="A3" s="14"/>
      <c r="B3" s="15"/>
      <c r="C3" s="15"/>
      <c r="D3" s="15"/>
      <c r="E3" s="15"/>
      <c r="F3" s="15"/>
      <c r="G3" s="16">
        <f t="shared" ref="G3:G32" si="0">SUM(D3*F3)</f>
        <v>0</v>
      </c>
      <c r="H3" s="17"/>
      <c r="I3" s="15"/>
      <c r="J3" s="15"/>
      <c r="K3" s="15"/>
      <c r="L3" s="15"/>
      <c r="M3" s="15"/>
      <c r="N3" s="15"/>
      <c r="O3" s="18"/>
    </row>
    <row r="4" s="4" customFormat="1" ht="22.5" customHeight="1" spans="1:62">
      <c r="A4" s="14"/>
      <c r="B4" s="15"/>
      <c r="C4" s="15"/>
      <c r="D4" s="15"/>
      <c r="E4" s="15"/>
      <c r="F4" s="15"/>
      <c r="G4" s="16">
        <f t="shared" si="0"/>
        <v>0</v>
      </c>
      <c r="H4" s="17"/>
      <c r="I4" s="15"/>
      <c r="J4" s="15"/>
      <c r="K4" s="15"/>
      <c r="L4" s="15"/>
      <c r="M4" s="15"/>
      <c r="N4" s="15"/>
      <c r="O4" s="1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="5" customFormat="1" ht="22.5" customHeight="1" spans="1:62">
      <c r="A5" s="14"/>
      <c r="B5" s="15"/>
      <c r="C5" s="15"/>
      <c r="D5" s="15"/>
      <c r="E5" s="15"/>
      <c r="F5" s="15"/>
      <c r="G5" s="16">
        <f t="shared" si="0"/>
        <v>0</v>
      </c>
      <c r="H5" s="17"/>
      <c r="I5" s="15"/>
      <c r="J5" s="15"/>
      <c r="K5" s="15"/>
      <c r="L5" s="15"/>
      <c r="M5" s="15"/>
      <c r="N5" s="15"/>
      <c r="O5" s="1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="4" customFormat="1" ht="22.5" customHeight="1" spans="1:62">
      <c r="A6" s="14"/>
      <c r="B6" s="15"/>
      <c r="C6" s="15"/>
      <c r="D6" s="15"/>
      <c r="E6" s="15"/>
      <c r="F6" s="15"/>
      <c r="G6" s="16">
        <f t="shared" si="0"/>
        <v>0</v>
      </c>
      <c r="H6" s="17"/>
      <c r="I6" s="15"/>
      <c r="J6" s="15"/>
      <c r="K6" s="15"/>
      <c r="L6" s="15"/>
      <c r="M6" s="15"/>
      <c r="N6" s="15"/>
      <c r="O6" s="18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="5" customFormat="1" ht="22.5" customHeight="1" spans="1:62">
      <c r="A7" s="14"/>
      <c r="B7" s="15"/>
      <c r="C7" s="15"/>
      <c r="D7" s="15"/>
      <c r="E7" s="15"/>
      <c r="F7" s="15"/>
      <c r="G7" s="16">
        <f t="shared" si="0"/>
        <v>0</v>
      </c>
      <c r="H7" s="17"/>
      <c r="I7" s="15"/>
      <c r="J7" s="15"/>
      <c r="K7" s="15"/>
      <c r="L7" s="15"/>
      <c r="M7" s="15"/>
      <c r="N7" s="15"/>
      <c r="O7" s="18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="5" customFormat="1" ht="22.5" customHeight="1" spans="1:62">
      <c r="A8" s="14"/>
      <c r="B8" s="15"/>
      <c r="C8" s="15"/>
      <c r="D8" s="15"/>
      <c r="E8" s="15"/>
      <c r="F8" s="15"/>
      <c r="G8" s="16">
        <f t="shared" si="0"/>
        <v>0</v>
      </c>
      <c r="H8" s="17"/>
      <c r="I8" s="15"/>
      <c r="J8" s="15"/>
      <c r="K8" s="19"/>
      <c r="L8" s="15"/>
      <c r="M8" s="15"/>
      <c r="N8" s="15"/>
      <c r="O8" s="1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="4" customFormat="1" ht="22.5" customHeight="1" spans="1:62">
      <c r="A9" s="14"/>
      <c r="B9" s="15"/>
      <c r="C9" s="15"/>
      <c r="D9" s="15"/>
      <c r="E9" s="15"/>
      <c r="F9" s="15"/>
      <c r="G9" s="16">
        <f t="shared" si="0"/>
        <v>0</v>
      </c>
      <c r="H9" s="17"/>
      <c r="I9" s="15"/>
      <c r="J9" s="15"/>
      <c r="K9" s="15"/>
      <c r="L9" s="15"/>
      <c r="M9" s="15"/>
      <c r="N9" s="15"/>
      <c r="O9" s="18"/>
      <c r="P9" s="3"/>
      <c r="Q9" s="20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="5" customFormat="1" ht="22.5" customHeight="1" spans="1:62">
      <c r="A10" s="21"/>
      <c r="B10" s="15"/>
      <c r="C10" s="15"/>
      <c r="D10" s="15"/>
      <c r="E10" s="15"/>
      <c r="F10" s="15"/>
      <c r="G10" s="16">
        <f t="shared" si="0"/>
        <v>0</v>
      </c>
      <c r="H10" s="17"/>
      <c r="I10" s="15"/>
      <c r="J10" s="15"/>
      <c r="K10" s="15"/>
      <c r="L10" s="15"/>
      <c r="M10" s="15"/>
      <c r="N10" s="15"/>
      <c r="O10" s="18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="4" customFormat="1" ht="22.5" customHeight="1" spans="1:62">
      <c r="A11" s="21"/>
      <c r="B11" s="15"/>
      <c r="C11" s="15"/>
      <c r="D11" s="15"/>
      <c r="E11" s="15"/>
      <c r="F11" s="15"/>
      <c r="G11" s="16">
        <f t="shared" si="0"/>
        <v>0</v>
      </c>
      <c r="H11" s="17"/>
      <c r="I11" s="15"/>
      <c r="J11" s="15"/>
      <c r="K11" s="15"/>
      <c r="L11" s="15"/>
      <c r="M11" s="15"/>
      <c r="N11" s="15"/>
      <c r="O11" s="18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="4" customFormat="1" ht="22.5" customHeight="1" spans="1:62">
      <c r="A12" s="21"/>
      <c r="B12" s="15"/>
      <c r="C12" s="15"/>
      <c r="D12" s="15"/>
      <c r="E12" s="15"/>
      <c r="F12" s="15"/>
      <c r="G12" s="16">
        <f t="shared" si="0"/>
        <v>0</v>
      </c>
      <c r="H12" s="17"/>
      <c r="I12" s="15"/>
      <c r="J12" s="15"/>
      <c r="K12" s="19"/>
      <c r="L12" s="15"/>
      <c r="M12" s="15"/>
      <c r="N12" s="15"/>
      <c r="O12" s="18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="4" customFormat="1" ht="22.5" customHeight="1" spans="1:62">
      <c r="A13" s="21"/>
      <c r="B13" s="15"/>
      <c r="C13" s="15"/>
      <c r="D13" s="15"/>
      <c r="E13" s="15"/>
      <c r="F13" s="15"/>
      <c r="G13" s="16">
        <f t="shared" si="0"/>
        <v>0</v>
      </c>
      <c r="H13" s="17"/>
      <c r="I13" s="15"/>
      <c r="J13" s="15"/>
      <c r="K13" s="19"/>
      <c r="L13" s="15"/>
      <c r="M13" s="15"/>
      <c r="N13" s="15"/>
      <c r="O13" s="1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="4" customFormat="1" ht="22.5" customHeight="1" spans="1:62">
      <c r="A14" s="21"/>
      <c r="B14" s="15"/>
      <c r="C14" s="15"/>
      <c r="D14" s="15"/>
      <c r="E14" s="15"/>
      <c r="F14" s="15"/>
      <c r="G14" s="16">
        <f t="shared" si="0"/>
        <v>0</v>
      </c>
      <c r="H14" s="17"/>
      <c r="I14" s="15"/>
      <c r="J14" s="15"/>
      <c r="K14" s="15"/>
      <c r="L14" s="15"/>
      <c r="M14" s="15"/>
      <c r="N14" s="15"/>
      <c r="O14" s="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="5" customFormat="1" ht="22.5" customHeight="1" spans="1:62">
      <c r="A15" s="21"/>
      <c r="B15" s="15"/>
      <c r="C15" s="15"/>
      <c r="D15" s="15"/>
      <c r="E15" s="15"/>
      <c r="F15" s="15"/>
      <c r="G15" s="16">
        <f t="shared" si="0"/>
        <v>0</v>
      </c>
      <c r="H15" s="17"/>
      <c r="I15" s="15"/>
      <c r="J15" s="15"/>
      <c r="K15" s="15"/>
      <c r="L15" s="15"/>
      <c r="M15" s="15"/>
      <c r="N15" s="15"/>
      <c r="O15" s="18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="4" customFormat="1" ht="22.5" customHeight="1" spans="1:62">
      <c r="A16" s="21"/>
      <c r="B16" s="15"/>
      <c r="C16" s="15"/>
      <c r="D16" s="15"/>
      <c r="E16" s="15"/>
      <c r="F16" s="15"/>
      <c r="G16" s="16">
        <f t="shared" si="0"/>
        <v>0</v>
      </c>
      <c r="H16" s="17"/>
      <c r="I16" s="15"/>
      <c r="J16" s="15"/>
      <c r="K16" s="15"/>
      <c r="L16" s="15"/>
      <c r="M16" s="15"/>
      <c r="N16" s="15"/>
      <c r="O16" s="18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="5" customFormat="1" ht="22.5" customHeight="1" spans="1:62">
      <c r="A17" s="21"/>
      <c r="B17" s="15"/>
      <c r="C17" s="15"/>
      <c r="D17" s="15"/>
      <c r="E17" s="15"/>
      <c r="F17" s="15"/>
      <c r="G17" s="16">
        <f t="shared" si="0"/>
        <v>0</v>
      </c>
      <c r="H17" s="17"/>
      <c r="I17" s="15"/>
      <c r="J17" s="15"/>
      <c r="K17" s="15"/>
      <c r="L17" s="15"/>
      <c r="M17" s="15"/>
      <c r="N17" s="15"/>
      <c r="O17" s="18"/>
      <c r="P17" s="3"/>
      <c r="Q17" s="20"/>
      <c r="R17" s="3"/>
      <c r="S17" s="2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="5" customFormat="1" ht="22.5" customHeight="1" spans="1:62">
      <c r="A18" s="21"/>
      <c r="B18" s="15"/>
      <c r="C18" s="15"/>
      <c r="D18" s="15"/>
      <c r="E18" s="15"/>
      <c r="F18" s="15"/>
      <c r="G18" s="16">
        <f t="shared" si="0"/>
        <v>0</v>
      </c>
      <c r="H18" s="17"/>
      <c r="I18" s="15"/>
      <c r="J18" s="15"/>
      <c r="K18" s="15"/>
      <c r="L18" s="15"/>
      <c r="M18" s="15"/>
      <c r="N18" s="15"/>
      <c r="O18" s="18"/>
      <c r="P18" s="3"/>
      <c r="Q18" s="23"/>
      <c r="R18" s="3"/>
      <c r="S18" s="2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="5" customFormat="1" ht="22.5" customHeight="1" spans="1:62">
      <c r="A19" s="21"/>
      <c r="B19" s="15"/>
      <c r="C19" s="15"/>
      <c r="D19" s="15"/>
      <c r="E19" s="15"/>
      <c r="F19" s="15"/>
      <c r="G19" s="16">
        <f t="shared" si="0"/>
        <v>0</v>
      </c>
      <c r="H19" s="17"/>
      <c r="I19" s="15"/>
      <c r="J19" s="15"/>
      <c r="K19" s="15"/>
      <c r="L19" s="15"/>
      <c r="M19" s="15"/>
      <c r="N19" s="15"/>
      <c r="O19" s="18"/>
      <c r="P19" s="3"/>
      <c r="Q19" s="23"/>
      <c r="R19" s="3"/>
      <c r="S19" s="2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="5" customFormat="1" ht="22.5" customHeight="1" spans="1:62">
      <c r="A20" s="21"/>
      <c r="B20" s="15"/>
      <c r="C20" s="15"/>
      <c r="D20" s="15"/>
      <c r="E20" s="15"/>
      <c r="F20" s="15"/>
      <c r="G20" s="16">
        <f t="shared" si="0"/>
        <v>0</v>
      </c>
      <c r="H20" s="17"/>
      <c r="I20" s="15"/>
      <c r="J20" s="15"/>
      <c r="K20" s="15"/>
      <c r="L20" s="15"/>
      <c r="M20" s="15"/>
      <c r="N20" s="15"/>
      <c r="O20" s="18"/>
      <c r="P20" s="3"/>
      <c r="Q20" s="23"/>
      <c r="R20" s="3"/>
      <c r="S20" s="2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="4" customFormat="1" ht="22.5" customHeight="1" spans="1:62">
      <c r="A21" s="21"/>
      <c r="B21" s="15"/>
      <c r="C21" s="15"/>
      <c r="D21" s="15"/>
      <c r="E21" s="15"/>
      <c r="F21" s="15"/>
      <c r="G21" s="16">
        <f t="shared" si="0"/>
        <v>0</v>
      </c>
      <c r="H21" s="17"/>
      <c r="I21" s="15"/>
      <c r="J21" s="15"/>
      <c r="K21" s="15"/>
      <c r="L21" s="15"/>
      <c r="M21" s="15"/>
      <c r="N21" s="15"/>
      <c r="O21" s="18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="5" customFormat="1" ht="22.5" customHeight="1" spans="1:62">
      <c r="A22" s="21"/>
      <c r="B22" s="15"/>
      <c r="C22" s="15"/>
      <c r="D22" s="15"/>
      <c r="E22" s="15"/>
      <c r="F22" s="15"/>
      <c r="G22" s="16">
        <f t="shared" si="0"/>
        <v>0</v>
      </c>
      <c r="H22" s="17"/>
      <c r="I22" s="15"/>
      <c r="J22" s="25"/>
      <c r="K22" s="15"/>
      <c r="L22" s="15"/>
      <c r="M22" s="15"/>
      <c r="N22" s="15"/>
      <c r="O22" s="18"/>
      <c r="P22" s="26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="4" customFormat="1" ht="22.5" customHeight="1" spans="1:62">
      <c r="A23" s="27"/>
      <c r="B23" s="15"/>
      <c r="C23" s="15"/>
      <c r="D23" s="15"/>
      <c r="E23" s="15"/>
      <c r="F23" s="15"/>
      <c r="G23" s="16">
        <f t="shared" si="0"/>
        <v>0</v>
      </c>
      <c r="H23" s="17"/>
      <c r="I23" s="15"/>
      <c r="J23" s="15"/>
      <c r="K23" s="15"/>
      <c r="L23" s="15"/>
      <c r="M23" s="15"/>
      <c r="N23" s="15"/>
      <c r="O23" s="1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="5" customFormat="1" ht="22.5" customHeight="1" spans="1:62">
      <c r="A24" s="21"/>
      <c r="B24" s="15"/>
      <c r="C24" s="15"/>
      <c r="D24" s="15"/>
      <c r="E24" s="15"/>
      <c r="F24" s="15"/>
      <c r="G24" s="16">
        <f t="shared" si="0"/>
        <v>0</v>
      </c>
      <c r="H24" s="17"/>
      <c r="I24" s="15"/>
      <c r="J24" s="15"/>
      <c r="K24" s="15"/>
      <c r="L24" s="15"/>
      <c r="M24" s="15"/>
      <c r="N24" s="15"/>
      <c r="O24" s="18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="4" customFormat="1" ht="22.5" customHeight="1" spans="1:62">
      <c r="A25" s="21"/>
      <c r="B25" s="15"/>
      <c r="C25" s="15"/>
      <c r="D25" s="15"/>
      <c r="E25" s="15"/>
      <c r="F25" s="15"/>
      <c r="G25" s="16">
        <f t="shared" si="0"/>
        <v>0</v>
      </c>
      <c r="H25" s="17"/>
      <c r="I25" s="15"/>
      <c r="J25" s="15"/>
      <c r="K25" s="15"/>
      <c r="L25" s="15"/>
      <c r="M25" s="15"/>
      <c r="N25" s="15"/>
      <c r="O25" s="18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="5" customFormat="1" ht="22.5" customHeight="1" spans="1:62">
      <c r="A26" s="21"/>
      <c r="B26" s="15"/>
      <c r="C26" s="15"/>
      <c r="D26" s="15"/>
      <c r="E26" s="15"/>
      <c r="F26" s="15"/>
      <c r="G26" s="16">
        <f t="shared" si="0"/>
        <v>0</v>
      </c>
      <c r="H26" s="17"/>
      <c r="I26" s="15"/>
      <c r="J26" s="15"/>
      <c r="K26" s="15"/>
      <c r="L26" s="15"/>
      <c r="M26" s="15"/>
      <c r="N26" s="15"/>
      <c r="O26" s="1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="4" customFormat="1" ht="22.5" customHeight="1" spans="1:62">
      <c r="A27" s="21"/>
      <c r="B27" s="15"/>
      <c r="C27" s="15"/>
      <c r="D27" s="15"/>
      <c r="E27" s="15"/>
      <c r="F27" s="15"/>
      <c r="G27" s="16">
        <f t="shared" si="0"/>
        <v>0</v>
      </c>
      <c r="H27" s="17"/>
      <c r="I27" s="15"/>
      <c r="J27" s="15"/>
      <c r="K27" s="15"/>
      <c r="L27" s="15"/>
      <c r="M27" s="15"/>
      <c r="N27" s="15"/>
      <c r="O27" s="18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="5" customFormat="1" ht="22.5" customHeight="1" spans="1:62">
      <c r="A28" s="21"/>
      <c r="B28" s="15"/>
      <c r="C28" s="15"/>
      <c r="D28" s="15"/>
      <c r="E28" s="15"/>
      <c r="F28" s="15"/>
      <c r="G28" s="16">
        <f t="shared" si="0"/>
        <v>0</v>
      </c>
      <c r="H28" s="17"/>
      <c r="I28" s="15"/>
      <c r="J28" s="15"/>
      <c r="K28" s="15"/>
      <c r="L28" s="15"/>
      <c r="M28" s="15"/>
      <c r="N28" s="15"/>
      <c r="O28" s="1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="4" customFormat="1" ht="22.5" customHeight="1" spans="1:62">
      <c r="A29" s="21"/>
      <c r="B29" s="15"/>
      <c r="C29" s="15"/>
      <c r="D29" s="15"/>
      <c r="E29" s="15"/>
      <c r="F29" s="15"/>
      <c r="G29" s="16">
        <f t="shared" si="0"/>
        <v>0</v>
      </c>
      <c r="H29" s="17"/>
      <c r="I29" s="15"/>
      <c r="J29" s="15"/>
      <c r="K29" s="15"/>
      <c r="L29" s="15"/>
      <c r="M29" s="15"/>
      <c r="N29" s="15"/>
      <c r="O29" s="1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="5" customFormat="1" ht="22.5" customHeight="1" spans="1:62">
      <c r="A30" s="21"/>
      <c r="B30" s="15"/>
      <c r="C30" s="15"/>
      <c r="D30" s="15"/>
      <c r="E30" s="15"/>
      <c r="F30" s="15"/>
      <c r="G30" s="16">
        <f t="shared" si="0"/>
        <v>0</v>
      </c>
      <c r="H30" s="17"/>
      <c r="I30" s="15"/>
      <c r="J30" s="15"/>
      <c r="K30" s="15"/>
      <c r="L30" s="15"/>
      <c r="M30" s="15"/>
      <c r="N30" s="15"/>
      <c r="O30" s="1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="4" customFormat="1" ht="22.5" customHeight="1" spans="1:62">
      <c r="A31" s="21"/>
      <c r="B31" s="15"/>
      <c r="C31" s="15"/>
      <c r="D31" s="15"/>
      <c r="E31" s="15"/>
      <c r="F31" s="15"/>
      <c r="G31" s="16">
        <f t="shared" si="0"/>
        <v>0</v>
      </c>
      <c r="H31" s="17"/>
      <c r="I31" s="15"/>
      <c r="J31" s="15"/>
      <c r="K31" s="15"/>
      <c r="L31" s="15"/>
      <c r="M31" s="15"/>
      <c r="N31" s="15"/>
      <c r="O31" s="1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="5" customFormat="1" ht="22.5" customHeight="1" spans="1:62">
      <c r="A32" s="21"/>
      <c r="B32" s="15"/>
      <c r="C32" s="15"/>
      <c r="D32" s="15"/>
      <c r="E32" s="15"/>
      <c r="F32" s="15"/>
      <c r="G32" s="16">
        <f t="shared" si="0"/>
        <v>0</v>
      </c>
      <c r="H32" s="17"/>
      <c r="I32" s="15"/>
      <c r="J32" s="15"/>
      <c r="K32" s="15"/>
      <c r="L32" s="15"/>
      <c r="M32" s="15"/>
      <c r="N32" s="15"/>
      <c r="O32" s="18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customFormat="1" ht="22.5" customHeight="1" spans="1:62">
      <c r="A33" s="21"/>
      <c r="B33" s="15"/>
      <c r="C33" s="15"/>
      <c r="D33" s="15">
        <f>SUM(D3:D32)</f>
        <v>0</v>
      </c>
      <c r="E33" s="15">
        <f>SUM(E3:E32)</f>
        <v>0</v>
      </c>
      <c r="F33" s="15"/>
      <c r="G33" s="16">
        <f>SUM(G3:G32)</f>
        <v>0</v>
      </c>
      <c r="H33" s="17">
        <f>SUM(H3:H32)</f>
        <v>0</v>
      </c>
      <c r="I33" s="15"/>
      <c r="J33" s="15"/>
      <c r="K33" s="15"/>
      <c r="L33" s="15"/>
      <c r="M33" s="15"/>
      <c r="N33" s="15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</row>
    <row r="34" spans="1:62">
      <c r="A34" s="29"/>
      <c r="B34" s="30"/>
      <c r="C34" s="30"/>
      <c r="D34" s="30"/>
      <c r="E34" s="30"/>
      <c r="F34" s="30"/>
      <c r="G34" s="31"/>
      <c r="H34" s="30"/>
      <c r="I34" s="30"/>
      <c r="J34" s="30"/>
      <c r="K34" s="30"/>
      <c r="L34" s="30"/>
      <c r="M34" s="30"/>
      <c r="N34" s="30"/>
    </row>
    <row r="35" spans="1:62">
      <c r="G35" s="32"/>
    </row>
    <row r="36" spans="1:62">
      <c r="G36" s="32"/>
    </row>
    <row r="37" spans="1:62">
      <c r="G37" s="32"/>
    </row>
    <row r="38" spans="1:62">
      <c r="G38" s="32"/>
    </row>
    <row r="39" spans="1:62">
      <c r="G39" s="32"/>
    </row>
    <row r="40" spans="1:62">
      <c r="G40" s="32"/>
    </row>
    <row r="41" spans="1:62">
      <c r="G41" s="32"/>
    </row>
    <row r="42" spans="1:62">
      <c r="G42" s="32"/>
    </row>
    <row r="43" spans="1:62">
      <c r="G43" s="32"/>
    </row>
    <row r="44" spans="1:62">
      <c r="G44" s="32"/>
    </row>
    <row r="45" spans="1:62">
      <c r="G45" s="32"/>
    </row>
    <row r="46" spans="1:62">
      <c r="G46" s="32"/>
    </row>
    <row r="47" spans="1:62">
      <c r="G47" s="32"/>
    </row>
    <row r="48" spans="1:62">
      <c r="G48" s="32"/>
    </row>
    <row r="49" spans="7:7">
      <c r="G49" s="32"/>
    </row>
    <row r="50" spans="7:7">
      <c r="G50" s="32"/>
    </row>
    <row r="51" spans="7:7">
      <c r="G51" s="32"/>
    </row>
    <row r="52" spans="7:7">
      <c r="G52" s="32"/>
    </row>
    <row r="53" spans="7:7">
      <c r="G53" s="32"/>
    </row>
    <row r="54" spans="7:7">
      <c r="G54" s="32"/>
    </row>
    <row r="55" spans="7:7">
      <c r="G55" s="32"/>
    </row>
    <row r="56" spans="7:7">
      <c r="G56" s="32"/>
    </row>
    <row r="57" spans="7:7">
      <c r="G57" s="32"/>
    </row>
    <row r="58" spans="7:7">
      <c r="G58" s="32"/>
    </row>
    <row r="59" spans="7:7">
      <c r="G59" s="32"/>
    </row>
    <row r="60" spans="7:7">
      <c r="G60" s="32"/>
    </row>
    <row r="61" spans="7:7">
      <c r="G61" s="32"/>
    </row>
    <row r="62" spans="7:7">
      <c r="G62" s="32"/>
    </row>
    <row r="63" spans="7:7">
      <c r="G63" s="32"/>
    </row>
    <row r="64" spans="7:7">
      <c r="G64" s="32"/>
    </row>
    <row r="65" spans="7:7">
      <c r="G65" s="32"/>
    </row>
    <row r="66" spans="7:7">
      <c r="G66" s="32"/>
    </row>
    <row r="67" spans="7:7">
      <c r="G67" s="32"/>
    </row>
    <row r="68" spans="7:7">
      <c r="G68" s="32"/>
    </row>
    <row r="69" spans="7:7">
      <c r="G69" s="32"/>
    </row>
    <row r="70" spans="7:7">
      <c r="G70" s="32"/>
    </row>
    <row r="71" spans="7:7">
      <c r="G71" s="32"/>
    </row>
    <row r="72" spans="7:7">
      <c r="G72" s="32"/>
    </row>
    <row r="73" spans="7:7">
      <c r="G73" s="32"/>
    </row>
    <row r="74" spans="7:7">
      <c r="G74" s="32"/>
    </row>
    <row r="75" spans="7:7">
      <c r="G75" s="32"/>
    </row>
    <row r="76" spans="7:7">
      <c r="G76" s="32"/>
    </row>
    <row r="77" spans="7:7">
      <c r="G77" s="32"/>
    </row>
    <row r="78" spans="7:7">
      <c r="G78" s="32"/>
    </row>
    <row r="79" spans="7:7">
      <c r="G79" s="32"/>
    </row>
    <row r="80" spans="7:7">
      <c r="G80" s="32"/>
    </row>
    <row r="81" spans="7:7">
      <c r="G81" s="32"/>
    </row>
    <row r="82" spans="7:7">
      <c r="G82" s="32"/>
    </row>
    <row r="83" spans="7:7">
      <c r="G83" s="32"/>
    </row>
    <row r="84" spans="7:7">
      <c r="G84" s="32"/>
    </row>
    <row r="85" spans="7:7">
      <c r="G85" s="32"/>
    </row>
    <row r="86" spans="7:7">
      <c r="G86" s="32"/>
    </row>
    <row r="87" spans="7:7">
      <c r="G87" s="32"/>
    </row>
    <row r="88" spans="7:7">
      <c r="G88" s="32"/>
    </row>
    <row r="89" spans="7:7">
      <c r="G89" s="32"/>
    </row>
    <row r="90" spans="7:7">
      <c r="G90" s="32"/>
    </row>
    <row r="91" spans="7:7">
      <c r="G91" s="32"/>
    </row>
    <row r="92" spans="7:7">
      <c r="G92" s="32"/>
    </row>
    <row r="93" spans="7:7">
      <c r="G93" s="32"/>
    </row>
    <row r="94" spans="7:7">
      <c r="G94" s="32"/>
    </row>
    <row r="95" spans="7:7">
      <c r="G95" s="32"/>
    </row>
    <row r="96" spans="7:7">
      <c r="G96" s="32"/>
    </row>
    <row r="97" spans="7:7">
      <c r="G97" s="32"/>
    </row>
    <row r="98" spans="7:7">
      <c r="G98" s="32"/>
    </row>
    <row r="99" spans="7:7">
      <c r="G99" s="32"/>
    </row>
    <row r="100" spans="7:7">
      <c r="G100" s="32"/>
    </row>
    <row r="101" spans="7:7">
      <c r="G101" s="32"/>
    </row>
    <row r="102" spans="7:7">
      <c r="G102" s="32"/>
    </row>
    <row r="103" spans="7:7">
      <c r="G103" s="32"/>
    </row>
    <row r="104" spans="7:7">
      <c r="G104" s="32"/>
    </row>
    <row r="105" spans="7:7">
      <c r="G105" s="32"/>
    </row>
    <row r="106" spans="7:7">
      <c r="G106" s="32"/>
    </row>
    <row r="107" spans="7:7">
      <c r="G107" s="32"/>
    </row>
    <row r="108" spans="7:7">
      <c r="G108" s="32"/>
    </row>
    <row r="109" spans="7:7">
      <c r="G109" s="32"/>
    </row>
    <row r="110" spans="7:7">
      <c r="G110" s="32"/>
    </row>
    <row r="111" spans="7:7">
      <c r="G111" s="32"/>
    </row>
    <row r="112" spans="7:7">
      <c r="G112" s="32"/>
    </row>
    <row r="113" spans="7:7">
      <c r="G113" s="32"/>
    </row>
  </sheetData>
  <mergeCells count="1">
    <mergeCell ref="A1:N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13"/>
  <sheetViews>
    <sheetView workbookViewId="0">
      <selection activeCell="K14" sqref="K14"/>
    </sheetView>
  </sheetViews>
  <sheetFormatPr defaultColWidth="8.725" defaultRowHeight="13.5"/>
  <cols>
    <col min="1" max="1" width="13.375" style="6" customWidth="1"/>
    <col min="2" max="2" width="10.4666666666667" style="7" customWidth="1"/>
    <col min="3" max="3" width="16.2833333333333" style="7" customWidth="1"/>
    <col min="4" max="5" width="13.0083333333333" style="7" customWidth="1"/>
    <col min="6" max="6" width="13.9166666666667" style="7" customWidth="1"/>
    <col min="7" max="7" width="13.0083333333333" style="8" customWidth="1"/>
    <col min="8" max="10" width="13.0083333333333" style="7" customWidth="1"/>
    <col min="11" max="11" width="11.0083333333333" style="7" customWidth="1"/>
    <col min="12" max="12" width="10.4666666666667" style="7" customWidth="1"/>
    <col min="13" max="13" width="13.0083333333333" style="7" customWidth="1"/>
    <col min="14" max="14" width="15.9166666666667" style="7" customWidth="1"/>
  </cols>
  <sheetData>
    <row r="1" s="1" customFormat="1" ht="28.5" customHeight="1" spans="1:6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="2" customFormat="1" ht="22.5" customHeight="1" spans="1:62">
      <c r="A2" s="10" t="s">
        <v>1</v>
      </c>
      <c r="B2" s="11" t="s">
        <v>2</v>
      </c>
      <c r="C2" s="11" t="s">
        <v>3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2"/>
      <c r="R2" s="13"/>
    </row>
    <row r="3" s="3" customFormat="1" ht="22.5" customHeight="1" spans="1:62">
      <c r="A3" s="14"/>
      <c r="B3" s="15"/>
      <c r="C3" s="15"/>
      <c r="D3" s="15"/>
      <c r="E3" s="15"/>
      <c r="F3" s="15"/>
      <c r="G3" s="16">
        <f t="shared" ref="G3:G32" si="0">SUM(D3*F3)</f>
        <v>0</v>
      </c>
      <c r="H3" s="17"/>
      <c r="I3" s="15"/>
      <c r="J3" s="15"/>
      <c r="K3" s="15"/>
      <c r="L3" s="15"/>
      <c r="M3" s="15"/>
      <c r="N3" s="15"/>
      <c r="O3" s="18"/>
    </row>
    <row r="4" s="4" customFormat="1" ht="22.5" customHeight="1" spans="1:62">
      <c r="A4" s="14"/>
      <c r="B4" s="15"/>
      <c r="C4" s="15"/>
      <c r="D4" s="15"/>
      <c r="E4" s="15"/>
      <c r="F4" s="15"/>
      <c r="G4" s="16">
        <f t="shared" si="0"/>
        <v>0</v>
      </c>
      <c r="H4" s="17"/>
      <c r="I4" s="15"/>
      <c r="J4" s="15"/>
      <c r="K4" s="15"/>
      <c r="L4" s="15"/>
      <c r="M4" s="15"/>
      <c r="N4" s="15"/>
      <c r="O4" s="1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="5" customFormat="1" ht="22.5" customHeight="1" spans="1:62">
      <c r="A5" s="14"/>
      <c r="B5" s="15"/>
      <c r="C5" s="15"/>
      <c r="D5" s="15"/>
      <c r="E5" s="15"/>
      <c r="F5" s="15"/>
      <c r="G5" s="16">
        <f t="shared" si="0"/>
        <v>0</v>
      </c>
      <c r="H5" s="17"/>
      <c r="I5" s="15"/>
      <c r="J5" s="15"/>
      <c r="K5" s="15"/>
      <c r="L5" s="15"/>
      <c r="M5" s="15"/>
      <c r="N5" s="15"/>
      <c r="O5" s="1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="4" customFormat="1" ht="22.5" customHeight="1" spans="1:62">
      <c r="A6" s="14"/>
      <c r="B6" s="15"/>
      <c r="C6" s="15"/>
      <c r="D6" s="15"/>
      <c r="E6" s="15"/>
      <c r="F6" s="15"/>
      <c r="G6" s="16">
        <f t="shared" si="0"/>
        <v>0</v>
      </c>
      <c r="H6" s="17"/>
      <c r="I6" s="15"/>
      <c r="J6" s="15"/>
      <c r="K6" s="15"/>
      <c r="L6" s="15"/>
      <c r="M6" s="15"/>
      <c r="N6" s="15"/>
      <c r="O6" s="18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="5" customFormat="1" ht="22.5" customHeight="1" spans="1:62">
      <c r="A7" s="14"/>
      <c r="B7" s="15"/>
      <c r="C7" s="15"/>
      <c r="D7" s="15"/>
      <c r="E7" s="15"/>
      <c r="F7" s="15"/>
      <c r="G7" s="16">
        <f t="shared" si="0"/>
        <v>0</v>
      </c>
      <c r="H7" s="17"/>
      <c r="I7" s="15"/>
      <c r="J7" s="15"/>
      <c r="K7" s="15"/>
      <c r="L7" s="15"/>
      <c r="M7" s="15"/>
      <c r="N7" s="15"/>
      <c r="O7" s="18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="5" customFormat="1" ht="22.5" customHeight="1" spans="1:62">
      <c r="A8" s="14"/>
      <c r="B8" s="15"/>
      <c r="C8" s="15"/>
      <c r="D8" s="15"/>
      <c r="E8" s="15"/>
      <c r="F8" s="15"/>
      <c r="G8" s="16">
        <f t="shared" si="0"/>
        <v>0</v>
      </c>
      <c r="H8" s="17"/>
      <c r="I8" s="15"/>
      <c r="J8" s="15"/>
      <c r="K8" s="19"/>
      <c r="L8" s="15"/>
      <c r="M8" s="15"/>
      <c r="N8" s="15"/>
      <c r="O8" s="1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="4" customFormat="1" ht="22.5" customHeight="1" spans="1:62">
      <c r="A9" s="14"/>
      <c r="B9" s="15"/>
      <c r="C9" s="15"/>
      <c r="D9" s="15"/>
      <c r="E9" s="15"/>
      <c r="F9" s="15"/>
      <c r="G9" s="16">
        <f t="shared" si="0"/>
        <v>0</v>
      </c>
      <c r="H9" s="17"/>
      <c r="I9" s="15"/>
      <c r="J9" s="15"/>
      <c r="K9" s="15"/>
      <c r="L9" s="15"/>
      <c r="M9" s="15"/>
      <c r="N9" s="15"/>
      <c r="O9" s="18"/>
      <c r="P9" s="3"/>
      <c r="Q9" s="20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="5" customFormat="1" ht="22.5" customHeight="1" spans="1:62">
      <c r="A10" s="21"/>
      <c r="B10" s="15"/>
      <c r="C10" s="15"/>
      <c r="D10" s="15"/>
      <c r="E10" s="15"/>
      <c r="F10" s="15"/>
      <c r="G10" s="16">
        <f t="shared" si="0"/>
        <v>0</v>
      </c>
      <c r="H10" s="17"/>
      <c r="I10" s="15"/>
      <c r="J10" s="15"/>
      <c r="K10" s="15"/>
      <c r="L10" s="15"/>
      <c r="M10" s="15"/>
      <c r="N10" s="15"/>
      <c r="O10" s="18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="4" customFormat="1" ht="22.5" customHeight="1" spans="1:62">
      <c r="A11" s="21"/>
      <c r="B11" s="15"/>
      <c r="C11" s="15"/>
      <c r="D11" s="15"/>
      <c r="E11" s="15"/>
      <c r="F11" s="15"/>
      <c r="G11" s="16">
        <f t="shared" si="0"/>
        <v>0</v>
      </c>
      <c r="H11" s="17"/>
      <c r="I11" s="15"/>
      <c r="J11" s="15"/>
      <c r="K11" s="15"/>
      <c r="L11" s="15"/>
      <c r="M11" s="15"/>
      <c r="N11" s="15"/>
      <c r="O11" s="18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="4" customFormat="1" ht="22.5" customHeight="1" spans="1:62">
      <c r="A12" s="21"/>
      <c r="B12" s="15"/>
      <c r="C12" s="15"/>
      <c r="D12" s="15"/>
      <c r="E12" s="15"/>
      <c r="F12" s="15"/>
      <c r="G12" s="16">
        <f t="shared" si="0"/>
        <v>0</v>
      </c>
      <c r="H12" s="17"/>
      <c r="I12" s="15"/>
      <c r="J12" s="15"/>
      <c r="K12" s="19"/>
      <c r="L12" s="15"/>
      <c r="M12" s="15"/>
      <c r="N12" s="15"/>
      <c r="O12" s="18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="4" customFormat="1" ht="22.5" customHeight="1" spans="1:62">
      <c r="A13" s="21"/>
      <c r="B13" s="15"/>
      <c r="C13" s="15"/>
      <c r="D13" s="15"/>
      <c r="E13" s="15"/>
      <c r="F13" s="15"/>
      <c r="G13" s="16">
        <f t="shared" si="0"/>
        <v>0</v>
      </c>
      <c r="H13" s="17"/>
      <c r="I13" s="15"/>
      <c r="J13" s="15"/>
      <c r="K13" s="19"/>
      <c r="L13" s="15"/>
      <c r="M13" s="15"/>
      <c r="N13" s="15"/>
      <c r="O13" s="1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="4" customFormat="1" ht="22.5" customHeight="1" spans="1:62">
      <c r="A14" s="21"/>
      <c r="B14" s="15"/>
      <c r="C14" s="15"/>
      <c r="D14" s="15"/>
      <c r="E14" s="15"/>
      <c r="F14" s="15"/>
      <c r="G14" s="16">
        <f t="shared" si="0"/>
        <v>0</v>
      </c>
      <c r="H14" s="17"/>
      <c r="I14" s="15"/>
      <c r="J14" s="15"/>
      <c r="K14" s="15"/>
      <c r="L14" s="15"/>
      <c r="M14" s="15"/>
      <c r="N14" s="15"/>
      <c r="O14" s="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="5" customFormat="1" ht="22.5" customHeight="1" spans="1:62">
      <c r="A15" s="21"/>
      <c r="B15" s="15"/>
      <c r="C15" s="15"/>
      <c r="D15" s="15"/>
      <c r="E15" s="15"/>
      <c r="F15" s="15"/>
      <c r="G15" s="16">
        <f t="shared" si="0"/>
        <v>0</v>
      </c>
      <c r="H15" s="17"/>
      <c r="I15" s="15"/>
      <c r="J15" s="15"/>
      <c r="K15" s="15"/>
      <c r="L15" s="15"/>
      <c r="M15" s="15"/>
      <c r="N15" s="15"/>
      <c r="O15" s="18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="4" customFormat="1" ht="22.5" customHeight="1" spans="1:62">
      <c r="A16" s="21"/>
      <c r="B16" s="15"/>
      <c r="C16" s="15"/>
      <c r="D16" s="15"/>
      <c r="E16" s="15"/>
      <c r="F16" s="15"/>
      <c r="G16" s="16">
        <f t="shared" si="0"/>
        <v>0</v>
      </c>
      <c r="H16" s="17"/>
      <c r="I16" s="15"/>
      <c r="J16" s="15"/>
      <c r="K16" s="15"/>
      <c r="L16" s="15"/>
      <c r="M16" s="15"/>
      <c r="N16" s="15"/>
      <c r="O16" s="18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="5" customFormat="1" ht="22.5" customHeight="1" spans="1:62">
      <c r="A17" s="21"/>
      <c r="B17" s="15"/>
      <c r="C17" s="15"/>
      <c r="D17" s="15"/>
      <c r="E17" s="15"/>
      <c r="F17" s="15"/>
      <c r="G17" s="16">
        <f t="shared" si="0"/>
        <v>0</v>
      </c>
      <c r="H17" s="17"/>
      <c r="I17" s="15"/>
      <c r="J17" s="15"/>
      <c r="K17" s="15"/>
      <c r="L17" s="15"/>
      <c r="M17" s="15"/>
      <c r="N17" s="15"/>
      <c r="O17" s="18"/>
      <c r="P17" s="3"/>
      <c r="Q17" s="20"/>
      <c r="R17" s="3"/>
      <c r="S17" s="2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="5" customFormat="1" ht="22.5" customHeight="1" spans="1:62">
      <c r="A18" s="21"/>
      <c r="B18" s="15"/>
      <c r="C18" s="15"/>
      <c r="D18" s="15"/>
      <c r="E18" s="15"/>
      <c r="F18" s="15"/>
      <c r="G18" s="16">
        <f t="shared" si="0"/>
        <v>0</v>
      </c>
      <c r="H18" s="17"/>
      <c r="I18" s="15"/>
      <c r="J18" s="15"/>
      <c r="K18" s="15"/>
      <c r="L18" s="15"/>
      <c r="M18" s="15"/>
      <c r="N18" s="15"/>
      <c r="O18" s="18"/>
      <c r="P18" s="3"/>
      <c r="Q18" s="23"/>
      <c r="R18" s="3"/>
      <c r="S18" s="2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="5" customFormat="1" ht="22.5" customHeight="1" spans="1:62">
      <c r="A19" s="21"/>
      <c r="B19" s="15"/>
      <c r="C19" s="15"/>
      <c r="D19" s="15"/>
      <c r="E19" s="15"/>
      <c r="F19" s="15"/>
      <c r="G19" s="16">
        <f t="shared" si="0"/>
        <v>0</v>
      </c>
      <c r="H19" s="17"/>
      <c r="I19" s="15"/>
      <c r="J19" s="15"/>
      <c r="K19" s="15"/>
      <c r="L19" s="15"/>
      <c r="M19" s="15"/>
      <c r="N19" s="15"/>
      <c r="O19" s="18"/>
      <c r="P19" s="3"/>
      <c r="Q19" s="23"/>
      <c r="R19" s="3"/>
      <c r="S19" s="2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="5" customFormat="1" ht="22.5" customHeight="1" spans="1:62">
      <c r="A20" s="21"/>
      <c r="B20" s="15"/>
      <c r="C20" s="15"/>
      <c r="D20" s="15"/>
      <c r="E20" s="15"/>
      <c r="F20" s="15"/>
      <c r="G20" s="16">
        <f t="shared" si="0"/>
        <v>0</v>
      </c>
      <c r="H20" s="17"/>
      <c r="I20" s="15"/>
      <c r="J20" s="15"/>
      <c r="K20" s="15"/>
      <c r="L20" s="15"/>
      <c r="M20" s="15"/>
      <c r="N20" s="15"/>
      <c r="O20" s="18"/>
      <c r="P20" s="3"/>
      <c r="Q20" s="23"/>
      <c r="R20" s="3"/>
      <c r="S20" s="2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="4" customFormat="1" ht="22.5" customHeight="1" spans="1:62">
      <c r="A21" s="21"/>
      <c r="B21" s="15"/>
      <c r="C21" s="15"/>
      <c r="D21" s="15"/>
      <c r="E21" s="15"/>
      <c r="F21" s="15"/>
      <c r="G21" s="16">
        <f t="shared" si="0"/>
        <v>0</v>
      </c>
      <c r="H21" s="17"/>
      <c r="I21" s="15"/>
      <c r="J21" s="15"/>
      <c r="K21" s="15"/>
      <c r="L21" s="15"/>
      <c r="M21" s="15"/>
      <c r="N21" s="15"/>
      <c r="O21" s="18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="5" customFormat="1" ht="22.5" customHeight="1" spans="1:62">
      <c r="A22" s="21"/>
      <c r="B22" s="15"/>
      <c r="C22" s="15"/>
      <c r="D22" s="15"/>
      <c r="E22" s="15"/>
      <c r="F22" s="15"/>
      <c r="G22" s="16">
        <f t="shared" si="0"/>
        <v>0</v>
      </c>
      <c r="H22" s="17"/>
      <c r="I22" s="15"/>
      <c r="J22" s="25"/>
      <c r="K22" s="15"/>
      <c r="L22" s="15"/>
      <c r="M22" s="15"/>
      <c r="N22" s="15"/>
      <c r="O22" s="18"/>
      <c r="P22" s="26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="4" customFormat="1" ht="22.5" customHeight="1" spans="1:62">
      <c r="A23" s="27"/>
      <c r="B23" s="15"/>
      <c r="C23" s="15"/>
      <c r="D23" s="15"/>
      <c r="E23" s="15"/>
      <c r="F23" s="15"/>
      <c r="G23" s="16">
        <f t="shared" si="0"/>
        <v>0</v>
      </c>
      <c r="H23" s="17"/>
      <c r="I23" s="15"/>
      <c r="J23" s="15"/>
      <c r="K23" s="15"/>
      <c r="L23" s="15"/>
      <c r="M23" s="15"/>
      <c r="N23" s="15"/>
      <c r="O23" s="1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="5" customFormat="1" ht="22.5" customHeight="1" spans="1:62">
      <c r="A24" s="21"/>
      <c r="B24" s="15"/>
      <c r="C24" s="15"/>
      <c r="D24" s="15"/>
      <c r="E24" s="15"/>
      <c r="F24" s="15"/>
      <c r="G24" s="16">
        <f t="shared" si="0"/>
        <v>0</v>
      </c>
      <c r="H24" s="17"/>
      <c r="I24" s="15"/>
      <c r="J24" s="15"/>
      <c r="K24" s="15"/>
      <c r="L24" s="15"/>
      <c r="M24" s="15"/>
      <c r="N24" s="15"/>
      <c r="O24" s="18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="4" customFormat="1" ht="22.5" customHeight="1" spans="1:62">
      <c r="A25" s="21"/>
      <c r="B25" s="15"/>
      <c r="C25" s="15"/>
      <c r="D25" s="15"/>
      <c r="E25" s="15"/>
      <c r="F25" s="15"/>
      <c r="G25" s="16">
        <f t="shared" si="0"/>
        <v>0</v>
      </c>
      <c r="H25" s="17"/>
      <c r="I25" s="15"/>
      <c r="J25" s="15"/>
      <c r="K25" s="15"/>
      <c r="L25" s="15"/>
      <c r="M25" s="15"/>
      <c r="N25" s="15"/>
      <c r="O25" s="18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="5" customFormat="1" ht="22.5" customHeight="1" spans="1:62">
      <c r="A26" s="21"/>
      <c r="B26" s="15"/>
      <c r="C26" s="15"/>
      <c r="D26" s="15"/>
      <c r="E26" s="15"/>
      <c r="F26" s="15"/>
      <c r="G26" s="16">
        <f t="shared" si="0"/>
        <v>0</v>
      </c>
      <c r="H26" s="17"/>
      <c r="I26" s="15"/>
      <c r="J26" s="15"/>
      <c r="K26" s="15"/>
      <c r="L26" s="15"/>
      <c r="M26" s="15"/>
      <c r="N26" s="15"/>
      <c r="O26" s="1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="4" customFormat="1" ht="22.5" customHeight="1" spans="1:62">
      <c r="A27" s="21"/>
      <c r="B27" s="15"/>
      <c r="C27" s="15"/>
      <c r="D27" s="15"/>
      <c r="E27" s="15"/>
      <c r="F27" s="15"/>
      <c r="G27" s="16">
        <f t="shared" si="0"/>
        <v>0</v>
      </c>
      <c r="H27" s="17"/>
      <c r="I27" s="15"/>
      <c r="J27" s="15"/>
      <c r="K27" s="15"/>
      <c r="L27" s="15"/>
      <c r="M27" s="15"/>
      <c r="N27" s="15"/>
      <c r="O27" s="18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="5" customFormat="1" ht="22.5" customHeight="1" spans="1:62">
      <c r="A28" s="21"/>
      <c r="B28" s="15"/>
      <c r="C28" s="15"/>
      <c r="D28" s="15"/>
      <c r="E28" s="15"/>
      <c r="F28" s="15"/>
      <c r="G28" s="16">
        <f t="shared" si="0"/>
        <v>0</v>
      </c>
      <c r="H28" s="17"/>
      <c r="I28" s="15"/>
      <c r="J28" s="15"/>
      <c r="K28" s="15"/>
      <c r="L28" s="15"/>
      <c r="M28" s="15"/>
      <c r="N28" s="15"/>
      <c r="O28" s="1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="4" customFormat="1" ht="22.5" customHeight="1" spans="1:62">
      <c r="A29" s="21"/>
      <c r="B29" s="15"/>
      <c r="C29" s="15"/>
      <c r="D29" s="15"/>
      <c r="E29" s="15"/>
      <c r="F29" s="15"/>
      <c r="G29" s="16">
        <f t="shared" si="0"/>
        <v>0</v>
      </c>
      <c r="H29" s="17"/>
      <c r="I29" s="15"/>
      <c r="J29" s="15"/>
      <c r="K29" s="15"/>
      <c r="L29" s="15"/>
      <c r="M29" s="15"/>
      <c r="N29" s="15"/>
      <c r="O29" s="1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="5" customFormat="1" ht="22.5" customHeight="1" spans="1:62">
      <c r="A30" s="21"/>
      <c r="B30" s="15"/>
      <c r="C30" s="15"/>
      <c r="D30" s="15"/>
      <c r="E30" s="15"/>
      <c r="F30" s="15"/>
      <c r="G30" s="16">
        <f t="shared" si="0"/>
        <v>0</v>
      </c>
      <c r="H30" s="17"/>
      <c r="I30" s="15"/>
      <c r="J30" s="15"/>
      <c r="K30" s="15"/>
      <c r="L30" s="15"/>
      <c r="M30" s="15"/>
      <c r="N30" s="15"/>
      <c r="O30" s="1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="4" customFormat="1" ht="22.5" customHeight="1" spans="1:62">
      <c r="A31" s="21"/>
      <c r="B31" s="15"/>
      <c r="C31" s="15"/>
      <c r="D31" s="15"/>
      <c r="E31" s="15"/>
      <c r="F31" s="15"/>
      <c r="G31" s="16">
        <f t="shared" si="0"/>
        <v>0</v>
      </c>
      <c r="H31" s="17"/>
      <c r="I31" s="15"/>
      <c r="J31" s="15"/>
      <c r="K31" s="15"/>
      <c r="L31" s="15"/>
      <c r="M31" s="15"/>
      <c r="N31" s="15"/>
      <c r="O31" s="1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="5" customFormat="1" ht="22.5" customHeight="1" spans="1:62">
      <c r="A32" s="21"/>
      <c r="B32" s="15"/>
      <c r="C32" s="15"/>
      <c r="D32" s="15"/>
      <c r="E32" s="15"/>
      <c r="F32" s="15"/>
      <c r="G32" s="16">
        <f t="shared" si="0"/>
        <v>0</v>
      </c>
      <c r="H32" s="17"/>
      <c r="I32" s="15"/>
      <c r="J32" s="15"/>
      <c r="K32" s="15"/>
      <c r="L32" s="15"/>
      <c r="M32" s="15"/>
      <c r="N32" s="15"/>
      <c r="O32" s="18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customFormat="1" ht="22.5" customHeight="1" spans="1:62">
      <c r="A33" s="21"/>
      <c r="B33" s="15"/>
      <c r="C33" s="15"/>
      <c r="D33" s="15">
        <f>SUM(D3:D32)</f>
        <v>0</v>
      </c>
      <c r="E33" s="15">
        <f>SUM(E3:E32)</f>
        <v>0</v>
      </c>
      <c r="F33" s="15"/>
      <c r="G33" s="16">
        <f>SUM(G3:G32)</f>
        <v>0</v>
      </c>
      <c r="H33" s="17">
        <f>SUM(H3:H32)</f>
        <v>0</v>
      </c>
      <c r="I33" s="15"/>
      <c r="J33" s="15"/>
      <c r="K33" s="15"/>
      <c r="L33" s="15"/>
      <c r="M33" s="15"/>
      <c r="N33" s="15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</row>
    <row r="34" spans="1:62">
      <c r="A34" s="29"/>
      <c r="B34" s="30"/>
      <c r="C34" s="30"/>
      <c r="D34" s="30"/>
      <c r="E34" s="30"/>
      <c r="F34" s="30"/>
      <c r="G34" s="31"/>
      <c r="H34" s="30"/>
      <c r="I34" s="30"/>
      <c r="J34" s="30"/>
      <c r="K34" s="30"/>
      <c r="L34" s="30"/>
      <c r="M34" s="30"/>
      <c r="N34" s="30"/>
    </row>
    <row r="35" spans="1:62">
      <c r="G35" s="32"/>
    </row>
    <row r="36" spans="1:62">
      <c r="G36" s="32"/>
    </row>
    <row r="37" spans="1:62">
      <c r="G37" s="32"/>
    </row>
    <row r="38" spans="1:62">
      <c r="G38" s="32"/>
    </row>
    <row r="39" spans="1:62">
      <c r="G39" s="32"/>
    </row>
    <row r="40" spans="1:62">
      <c r="G40" s="32"/>
    </row>
    <row r="41" spans="1:62">
      <c r="G41" s="32"/>
    </row>
    <row r="42" spans="1:62">
      <c r="G42" s="32"/>
    </row>
    <row r="43" spans="1:62">
      <c r="G43" s="32"/>
    </row>
    <row r="44" spans="1:62">
      <c r="G44" s="32"/>
    </row>
    <row r="45" spans="1:62">
      <c r="G45" s="32"/>
    </row>
    <row r="46" spans="1:62">
      <c r="G46" s="32"/>
    </row>
    <row r="47" spans="1:62">
      <c r="G47" s="32"/>
    </row>
    <row r="48" spans="1:62">
      <c r="G48" s="32"/>
    </row>
    <row r="49" spans="7:7">
      <c r="G49" s="32"/>
    </row>
    <row r="50" spans="7:7">
      <c r="G50" s="32"/>
    </row>
    <row r="51" spans="7:7">
      <c r="G51" s="32"/>
    </row>
    <row r="52" spans="7:7">
      <c r="G52" s="32"/>
    </row>
    <row r="53" spans="7:7">
      <c r="G53" s="32"/>
    </row>
    <row r="54" spans="7:7">
      <c r="G54" s="32"/>
    </row>
    <row r="55" spans="7:7">
      <c r="G55" s="32"/>
    </row>
    <row r="56" spans="7:7">
      <c r="G56" s="32"/>
    </row>
    <row r="57" spans="7:7">
      <c r="G57" s="32"/>
    </row>
    <row r="58" spans="7:7">
      <c r="G58" s="32"/>
    </row>
    <row r="59" spans="7:7">
      <c r="G59" s="32"/>
    </row>
    <row r="60" spans="7:7">
      <c r="G60" s="32"/>
    </row>
    <row r="61" spans="7:7">
      <c r="G61" s="32"/>
    </row>
    <row r="62" spans="7:7">
      <c r="G62" s="32"/>
    </row>
    <row r="63" spans="7:7">
      <c r="G63" s="32"/>
    </row>
    <row r="64" spans="7:7">
      <c r="G64" s="32"/>
    </row>
    <row r="65" spans="7:7">
      <c r="G65" s="32"/>
    </row>
    <row r="66" spans="7:7">
      <c r="G66" s="32"/>
    </row>
    <row r="67" spans="7:7">
      <c r="G67" s="32"/>
    </row>
    <row r="68" spans="7:7">
      <c r="G68" s="32"/>
    </row>
    <row r="69" spans="7:7">
      <c r="G69" s="32"/>
    </row>
    <row r="70" spans="7:7">
      <c r="G70" s="32"/>
    </row>
    <row r="71" spans="7:7">
      <c r="G71" s="32"/>
    </row>
    <row r="72" spans="7:7">
      <c r="G72" s="32"/>
    </row>
    <row r="73" spans="7:7">
      <c r="G73" s="32"/>
    </row>
    <row r="74" spans="7:7">
      <c r="G74" s="32"/>
    </row>
    <row r="75" spans="7:7">
      <c r="G75" s="32"/>
    </row>
    <row r="76" spans="7:7">
      <c r="G76" s="32"/>
    </row>
    <row r="77" spans="7:7">
      <c r="G77" s="32"/>
    </row>
    <row r="78" spans="7:7">
      <c r="G78" s="32"/>
    </row>
    <row r="79" spans="7:7">
      <c r="G79" s="32"/>
    </row>
    <row r="80" spans="7:7">
      <c r="G80" s="32"/>
    </row>
    <row r="81" spans="7:7">
      <c r="G81" s="32"/>
    </row>
    <row r="82" spans="7:7">
      <c r="G82" s="32"/>
    </row>
    <row r="83" spans="7:7">
      <c r="G83" s="32"/>
    </row>
    <row r="84" spans="7:7">
      <c r="G84" s="32"/>
    </row>
    <row r="85" spans="7:7">
      <c r="G85" s="32"/>
    </row>
    <row r="86" spans="7:7">
      <c r="G86" s="32"/>
    </row>
    <row r="87" spans="7:7">
      <c r="G87" s="32"/>
    </row>
    <row r="88" spans="7:7">
      <c r="G88" s="32"/>
    </row>
    <row r="89" spans="7:7">
      <c r="G89" s="32"/>
    </row>
    <row r="90" spans="7:7">
      <c r="G90" s="32"/>
    </row>
    <row r="91" spans="7:7">
      <c r="G91" s="32"/>
    </row>
    <row r="92" spans="7:7">
      <c r="G92" s="32"/>
    </row>
    <row r="93" spans="7:7">
      <c r="G93" s="32"/>
    </row>
    <row r="94" spans="7:7">
      <c r="G94" s="32"/>
    </row>
    <row r="95" spans="7:7">
      <c r="G95" s="32"/>
    </row>
    <row r="96" spans="7:7">
      <c r="G96" s="32"/>
    </row>
    <row r="97" spans="7:7">
      <c r="G97" s="32"/>
    </row>
    <row r="98" spans="7:7">
      <c r="G98" s="32"/>
    </row>
    <row r="99" spans="7:7">
      <c r="G99" s="32"/>
    </row>
    <row r="100" spans="7:7">
      <c r="G100" s="32"/>
    </row>
    <row r="101" spans="7:7">
      <c r="G101" s="32"/>
    </row>
    <row r="102" spans="7:7">
      <c r="G102" s="32"/>
    </row>
    <row r="103" spans="7:7">
      <c r="G103" s="32"/>
    </row>
    <row r="104" spans="7:7">
      <c r="G104" s="32"/>
    </row>
    <row r="105" spans="7:7">
      <c r="G105" s="32"/>
    </row>
    <row r="106" spans="7:7">
      <c r="G106" s="32"/>
    </row>
    <row r="107" spans="7:7">
      <c r="G107" s="32"/>
    </row>
    <row r="108" spans="7:7">
      <c r="G108" s="32"/>
    </row>
    <row r="109" spans="7:7">
      <c r="G109" s="32"/>
    </row>
    <row r="110" spans="7:7">
      <c r="G110" s="32"/>
    </row>
    <row r="111" spans="7:7">
      <c r="G111" s="32"/>
    </row>
    <row r="112" spans="7:7">
      <c r="G112" s="32"/>
    </row>
    <row r="113" spans="7:7">
      <c r="G113" s="32"/>
    </row>
  </sheetData>
  <mergeCells count="1">
    <mergeCell ref="A1:N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13"/>
  <sheetViews>
    <sheetView workbookViewId="0">
      <selection activeCell="K14" sqref="K14"/>
    </sheetView>
  </sheetViews>
  <sheetFormatPr defaultColWidth="8.725" defaultRowHeight="13.5"/>
  <cols>
    <col min="1" max="1" width="13.375" style="6" customWidth="1"/>
    <col min="2" max="2" width="10.4666666666667" style="7" customWidth="1"/>
    <col min="3" max="3" width="16.2833333333333" style="7" customWidth="1"/>
    <col min="4" max="5" width="13.0083333333333" style="7" customWidth="1"/>
    <col min="6" max="6" width="13.9166666666667" style="7" customWidth="1"/>
    <col min="7" max="7" width="13.0083333333333" style="8" customWidth="1"/>
    <col min="8" max="10" width="13.0083333333333" style="7" customWidth="1"/>
    <col min="11" max="11" width="11.0083333333333" style="7" customWidth="1"/>
    <col min="12" max="12" width="10.4666666666667" style="7" customWidth="1"/>
    <col min="13" max="13" width="13.0083333333333" style="7" customWidth="1"/>
    <col min="14" max="14" width="15.9166666666667" style="7" customWidth="1"/>
  </cols>
  <sheetData>
    <row r="1" s="1" customFormat="1" ht="28.5" customHeight="1" spans="1:6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="2" customFormat="1" ht="22.5" customHeight="1" spans="1:62">
      <c r="A2" s="10" t="s">
        <v>1</v>
      </c>
      <c r="B2" s="11" t="s">
        <v>2</v>
      </c>
      <c r="C2" s="11" t="s">
        <v>3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2"/>
      <c r="R2" s="13"/>
    </row>
    <row r="3" s="3" customFormat="1" ht="22.5" customHeight="1" spans="1:62">
      <c r="A3" s="14"/>
      <c r="B3" s="15"/>
      <c r="C3" s="15"/>
      <c r="D3" s="15"/>
      <c r="E3" s="15"/>
      <c r="F3" s="15"/>
      <c r="G3" s="16">
        <f t="shared" ref="G3:G32" si="0">SUM(D3*F3)</f>
        <v>0</v>
      </c>
      <c r="H3" s="17"/>
      <c r="I3" s="15"/>
      <c r="J3" s="15"/>
      <c r="K3" s="15"/>
      <c r="L3" s="15"/>
      <c r="M3" s="15"/>
      <c r="N3" s="15"/>
      <c r="O3" s="18"/>
    </row>
    <row r="4" s="4" customFormat="1" ht="22.5" customHeight="1" spans="1:62">
      <c r="A4" s="14"/>
      <c r="B4" s="15"/>
      <c r="C4" s="15"/>
      <c r="D4" s="15"/>
      <c r="E4" s="15"/>
      <c r="F4" s="15"/>
      <c r="G4" s="16">
        <f t="shared" si="0"/>
        <v>0</v>
      </c>
      <c r="H4" s="17"/>
      <c r="I4" s="15"/>
      <c r="J4" s="15"/>
      <c r="K4" s="15"/>
      <c r="L4" s="15"/>
      <c r="M4" s="15"/>
      <c r="N4" s="15"/>
      <c r="O4" s="1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="5" customFormat="1" ht="22.5" customHeight="1" spans="1:62">
      <c r="A5" s="14"/>
      <c r="B5" s="15"/>
      <c r="C5" s="15"/>
      <c r="D5" s="15"/>
      <c r="E5" s="15"/>
      <c r="F5" s="15"/>
      <c r="G5" s="16">
        <f t="shared" si="0"/>
        <v>0</v>
      </c>
      <c r="H5" s="17"/>
      <c r="I5" s="15"/>
      <c r="J5" s="15"/>
      <c r="K5" s="15"/>
      <c r="L5" s="15"/>
      <c r="M5" s="15"/>
      <c r="N5" s="15"/>
      <c r="O5" s="1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="4" customFormat="1" ht="22.5" customHeight="1" spans="1:62">
      <c r="A6" s="14"/>
      <c r="B6" s="15"/>
      <c r="C6" s="15"/>
      <c r="D6" s="15"/>
      <c r="E6" s="15"/>
      <c r="F6" s="15"/>
      <c r="G6" s="16">
        <f t="shared" si="0"/>
        <v>0</v>
      </c>
      <c r="H6" s="17"/>
      <c r="I6" s="15"/>
      <c r="J6" s="15"/>
      <c r="K6" s="15"/>
      <c r="L6" s="15"/>
      <c r="M6" s="15"/>
      <c r="N6" s="15"/>
      <c r="O6" s="18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="5" customFormat="1" ht="22.5" customHeight="1" spans="1:62">
      <c r="A7" s="14"/>
      <c r="B7" s="15"/>
      <c r="C7" s="15"/>
      <c r="D7" s="15"/>
      <c r="E7" s="15"/>
      <c r="F7" s="15"/>
      <c r="G7" s="16">
        <f t="shared" si="0"/>
        <v>0</v>
      </c>
      <c r="H7" s="17"/>
      <c r="I7" s="15"/>
      <c r="J7" s="15"/>
      <c r="K7" s="15"/>
      <c r="L7" s="15"/>
      <c r="M7" s="15"/>
      <c r="N7" s="15"/>
      <c r="O7" s="18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="5" customFormat="1" ht="22.5" customHeight="1" spans="1:62">
      <c r="A8" s="14"/>
      <c r="B8" s="15"/>
      <c r="C8" s="15"/>
      <c r="D8" s="15"/>
      <c r="E8" s="15"/>
      <c r="F8" s="15"/>
      <c r="G8" s="16">
        <f t="shared" si="0"/>
        <v>0</v>
      </c>
      <c r="H8" s="17"/>
      <c r="I8" s="15"/>
      <c r="J8" s="15"/>
      <c r="K8" s="19"/>
      <c r="L8" s="15"/>
      <c r="M8" s="15"/>
      <c r="N8" s="15"/>
      <c r="O8" s="1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="4" customFormat="1" ht="22.5" customHeight="1" spans="1:62">
      <c r="A9" s="14"/>
      <c r="B9" s="15"/>
      <c r="C9" s="15"/>
      <c r="D9" s="15"/>
      <c r="E9" s="15"/>
      <c r="F9" s="15"/>
      <c r="G9" s="16">
        <f t="shared" si="0"/>
        <v>0</v>
      </c>
      <c r="H9" s="17"/>
      <c r="I9" s="15"/>
      <c r="J9" s="15"/>
      <c r="K9" s="15"/>
      <c r="L9" s="15"/>
      <c r="M9" s="15"/>
      <c r="N9" s="15"/>
      <c r="O9" s="18"/>
      <c r="P9" s="3"/>
      <c r="Q9" s="20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="5" customFormat="1" ht="22.5" customHeight="1" spans="1:62">
      <c r="A10" s="21"/>
      <c r="B10" s="15"/>
      <c r="C10" s="15"/>
      <c r="D10" s="15"/>
      <c r="E10" s="15"/>
      <c r="F10" s="15"/>
      <c r="G10" s="16">
        <f t="shared" si="0"/>
        <v>0</v>
      </c>
      <c r="H10" s="17"/>
      <c r="I10" s="15"/>
      <c r="J10" s="15"/>
      <c r="K10" s="15"/>
      <c r="L10" s="15"/>
      <c r="M10" s="15"/>
      <c r="N10" s="15"/>
      <c r="O10" s="18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="4" customFormat="1" ht="22.5" customHeight="1" spans="1:62">
      <c r="A11" s="21"/>
      <c r="B11" s="15"/>
      <c r="C11" s="15"/>
      <c r="D11" s="15"/>
      <c r="E11" s="15"/>
      <c r="F11" s="15"/>
      <c r="G11" s="16">
        <f t="shared" si="0"/>
        <v>0</v>
      </c>
      <c r="H11" s="17"/>
      <c r="I11" s="15"/>
      <c r="J11" s="15"/>
      <c r="K11" s="15"/>
      <c r="L11" s="15"/>
      <c r="M11" s="15"/>
      <c r="N11" s="15"/>
      <c r="O11" s="18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="4" customFormat="1" ht="22.5" customHeight="1" spans="1:62">
      <c r="A12" s="21"/>
      <c r="B12" s="15"/>
      <c r="C12" s="15"/>
      <c r="D12" s="15"/>
      <c r="E12" s="15"/>
      <c r="F12" s="15"/>
      <c r="G12" s="16">
        <f t="shared" si="0"/>
        <v>0</v>
      </c>
      <c r="H12" s="17"/>
      <c r="I12" s="15"/>
      <c r="J12" s="15"/>
      <c r="K12" s="19"/>
      <c r="L12" s="15"/>
      <c r="M12" s="15"/>
      <c r="N12" s="15"/>
      <c r="O12" s="18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="4" customFormat="1" ht="22.5" customHeight="1" spans="1:62">
      <c r="A13" s="21"/>
      <c r="B13" s="15"/>
      <c r="C13" s="15"/>
      <c r="D13" s="15"/>
      <c r="E13" s="15"/>
      <c r="F13" s="15"/>
      <c r="G13" s="16">
        <f t="shared" si="0"/>
        <v>0</v>
      </c>
      <c r="H13" s="17"/>
      <c r="I13" s="15"/>
      <c r="J13" s="15"/>
      <c r="K13" s="19"/>
      <c r="L13" s="15"/>
      <c r="M13" s="15"/>
      <c r="N13" s="15"/>
      <c r="O13" s="1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="4" customFormat="1" ht="22.5" customHeight="1" spans="1:62">
      <c r="A14" s="21"/>
      <c r="B14" s="15"/>
      <c r="C14" s="15"/>
      <c r="D14" s="15"/>
      <c r="E14" s="15"/>
      <c r="F14" s="15"/>
      <c r="G14" s="16">
        <f t="shared" si="0"/>
        <v>0</v>
      </c>
      <c r="H14" s="17"/>
      <c r="I14" s="15"/>
      <c r="J14" s="15"/>
      <c r="K14" s="15"/>
      <c r="L14" s="15"/>
      <c r="M14" s="15"/>
      <c r="N14" s="15"/>
      <c r="O14" s="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="5" customFormat="1" ht="22.5" customHeight="1" spans="1:62">
      <c r="A15" s="21"/>
      <c r="B15" s="15"/>
      <c r="C15" s="15"/>
      <c r="D15" s="15"/>
      <c r="E15" s="15"/>
      <c r="F15" s="15"/>
      <c r="G15" s="16">
        <f t="shared" si="0"/>
        <v>0</v>
      </c>
      <c r="H15" s="17"/>
      <c r="I15" s="15"/>
      <c r="J15" s="15"/>
      <c r="K15" s="15"/>
      <c r="L15" s="15"/>
      <c r="M15" s="15"/>
      <c r="N15" s="15"/>
      <c r="O15" s="18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="4" customFormat="1" ht="22.5" customHeight="1" spans="1:62">
      <c r="A16" s="21"/>
      <c r="B16" s="15"/>
      <c r="C16" s="15"/>
      <c r="D16" s="15"/>
      <c r="E16" s="15"/>
      <c r="F16" s="15"/>
      <c r="G16" s="16">
        <f t="shared" si="0"/>
        <v>0</v>
      </c>
      <c r="H16" s="17"/>
      <c r="I16" s="15"/>
      <c r="J16" s="15"/>
      <c r="K16" s="15"/>
      <c r="L16" s="15"/>
      <c r="M16" s="15"/>
      <c r="N16" s="15"/>
      <c r="O16" s="18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="5" customFormat="1" ht="22.5" customHeight="1" spans="1:62">
      <c r="A17" s="21"/>
      <c r="B17" s="15"/>
      <c r="C17" s="15"/>
      <c r="D17" s="15"/>
      <c r="E17" s="15"/>
      <c r="F17" s="15"/>
      <c r="G17" s="16">
        <f t="shared" si="0"/>
        <v>0</v>
      </c>
      <c r="H17" s="17"/>
      <c r="I17" s="15"/>
      <c r="J17" s="15"/>
      <c r="K17" s="15"/>
      <c r="L17" s="15"/>
      <c r="M17" s="15"/>
      <c r="N17" s="15"/>
      <c r="O17" s="18"/>
      <c r="P17" s="3"/>
      <c r="Q17" s="20"/>
      <c r="R17" s="3"/>
      <c r="S17" s="2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="5" customFormat="1" ht="22.5" customHeight="1" spans="1:62">
      <c r="A18" s="21"/>
      <c r="B18" s="15"/>
      <c r="C18" s="15"/>
      <c r="D18" s="15"/>
      <c r="E18" s="15"/>
      <c r="F18" s="15"/>
      <c r="G18" s="16">
        <f t="shared" si="0"/>
        <v>0</v>
      </c>
      <c r="H18" s="17"/>
      <c r="I18" s="15"/>
      <c r="J18" s="15"/>
      <c r="K18" s="15"/>
      <c r="L18" s="15"/>
      <c r="M18" s="15"/>
      <c r="N18" s="15"/>
      <c r="O18" s="18"/>
      <c r="P18" s="3"/>
      <c r="Q18" s="23"/>
      <c r="R18" s="3"/>
      <c r="S18" s="2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="5" customFormat="1" ht="22.5" customHeight="1" spans="1:62">
      <c r="A19" s="21"/>
      <c r="B19" s="15"/>
      <c r="C19" s="15"/>
      <c r="D19" s="15"/>
      <c r="E19" s="15"/>
      <c r="F19" s="15"/>
      <c r="G19" s="16">
        <f t="shared" si="0"/>
        <v>0</v>
      </c>
      <c r="H19" s="17"/>
      <c r="I19" s="15"/>
      <c r="J19" s="15"/>
      <c r="K19" s="15"/>
      <c r="L19" s="15"/>
      <c r="M19" s="15"/>
      <c r="N19" s="15"/>
      <c r="O19" s="18"/>
      <c r="P19" s="3"/>
      <c r="Q19" s="23"/>
      <c r="R19" s="3"/>
      <c r="S19" s="2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="5" customFormat="1" ht="22.5" customHeight="1" spans="1:62">
      <c r="A20" s="21"/>
      <c r="B20" s="15"/>
      <c r="C20" s="15"/>
      <c r="D20" s="15"/>
      <c r="E20" s="15"/>
      <c r="F20" s="15"/>
      <c r="G20" s="16">
        <f t="shared" si="0"/>
        <v>0</v>
      </c>
      <c r="H20" s="17"/>
      <c r="I20" s="15"/>
      <c r="J20" s="15"/>
      <c r="K20" s="15"/>
      <c r="L20" s="15"/>
      <c r="M20" s="15"/>
      <c r="N20" s="15"/>
      <c r="O20" s="18"/>
      <c r="P20" s="3"/>
      <c r="Q20" s="23"/>
      <c r="R20" s="3"/>
      <c r="S20" s="2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="4" customFormat="1" ht="22.5" customHeight="1" spans="1:62">
      <c r="A21" s="21"/>
      <c r="B21" s="15"/>
      <c r="C21" s="15"/>
      <c r="D21" s="15"/>
      <c r="E21" s="15"/>
      <c r="F21" s="15"/>
      <c r="G21" s="16">
        <f t="shared" si="0"/>
        <v>0</v>
      </c>
      <c r="H21" s="17"/>
      <c r="I21" s="15"/>
      <c r="J21" s="15"/>
      <c r="K21" s="15"/>
      <c r="L21" s="15"/>
      <c r="M21" s="15"/>
      <c r="N21" s="15"/>
      <c r="O21" s="18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="5" customFormat="1" ht="22.5" customHeight="1" spans="1:62">
      <c r="A22" s="21"/>
      <c r="B22" s="15"/>
      <c r="C22" s="15"/>
      <c r="D22" s="15"/>
      <c r="E22" s="15"/>
      <c r="F22" s="15"/>
      <c r="G22" s="16">
        <f t="shared" si="0"/>
        <v>0</v>
      </c>
      <c r="H22" s="17"/>
      <c r="I22" s="15"/>
      <c r="J22" s="25"/>
      <c r="K22" s="15"/>
      <c r="L22" s="15"/>
      <c r="M22" s="15"/>
      <c r="N22" s="15"/>
      <c r="O22" s="18"/>
      <c r="P22" s="26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="4" customFormat="1" ht="22.5" customHeight="1" spans="1:62">
      <c r="A23" s="27"/>
      <c r="B23" s="15"/>
      <c r="C23" s="15"/>
      <c r="D23" s="15"/>
      <c r="E23" s="15"/>
      <c r="F23" s="15"/>
      <c r="G23" s="16">
        <f t="shared" si="0"/>
        <v>0</v>
      </c>
      <c r="H23" s="17"/>
      <c r="I23" s="15"/>
      <c r="J23" s="15"/>
      <c r="K23" s="15"/>
      <c r="L23" s="15"/>
      <c r="M23" s="15"/>
      <c r="N23" s="15"/>
      <c r="O23" s="1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="5" customFormat="1" ht="22.5" customHeight="1" spans="1:62">
      <c r="A24" s="21"/>
      <c r="B24" s="15"/>
      <c r="C24" s="15"/>
      <c r="D24" s="15"/>
      <c r="E24" s="15"/>
      <c r="F24" s="15"/>
      <c r="G24" s="16">
        <f t="shared" si="0"/>
        <v>0</v>
      </c>
      <c r="H24" s="17"/>
      <c r="I24" s="15"/>
      <c r="J24" s="15"/>
      <c r="K24" s="15"/>
      <c r="L24" s="15"/>
      <c r="M24" s="15"/>
      <c r="N24" s="15"/>
      <c r="O24" s="18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="4" customFormat="1" ht="22.5" customHeight="1" spans="1:62">
      <c r="A25" s="21"/>
      <c r="B25" s="15"/>
      <c r="C25" s="15"/>
      <c r="D25" s="15"/>
      <c r="E25" s="15"/>
      <c r="F25" s="15"/>
      <c r="G25" s="16">
        <f t="shared" si="0"/>
        <v>0</v>
      </c>
      <c r="H25" s="17"/>
      <c r="I25" s="15"/>
      <c r="J25" s="15"/>
      <c r="K25" s="15"/>
      <c r="L25" s="15"/>
      <c r="M25" s="15"/>
      <c r="N25" s="15"/>
      <c r="O25" s="18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="5" customFormat="1" ht="22.5" customHeight="1" spans="1:62">
      <c r="A26" s="21"/>
      <c r="B26" s="15"/>
      <c r="C26" s="15"/>
      <c r="D26" s="15"/>
      <c r="E26" s="15"/>
      <c r="F26" s="15"/>
      <c r="G26" s="16">
        <f t="shared" si="0"/>
        <v>0</v>
      </c>
      <c r="H26" s="17"/>
      <c r="I26" s="15"/>
      <c r="J26" s="15"/>
      <c r="K26" s="15"/>
      <c r="L26" s="15"/>
      <c r="M26" s="15"/>
      <c r="N26" s="15"/>
      <c r="O26" s="1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="4" customFormat="1" ht="22.5" customHeight="1" spans="1:62">
      <c r="A27" s="21"/>
      <c r="B27" s="15"/>
      <c r="C27" s="15"/>
      <c r="D27" s="15"/>
      <c r="E27" s="15"/>
      <c r="F27" s="15"/>
      <c r="G27" s="16">
        <f t="shared" si="0"/>
        <v>0</v>
      </c>
      <c r="H27" s="17"/>
      <c r="I27" s="15"/>
      <c r="J27" s="15"/>
      <c r="K27" s="15"/>
      <c r="L27" s="15"/>
      <c r="M27" s="15"/>
      <c r="N27" s="15"/>
      <c r="O27" s="18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="5" customFormat="1" ht="22.5" customHeight="1" spans="1:62">
      <c r="A28" s="21"/>
      <c r="B28" s="15"/>
      <c r="C28" s="15"/>
      <c r="D28" s="15"/>
      <c r="E28" s="15"/>
      <c r="F28" s="15"/>
      <c r="G28" s="16">
        <f t="shared" si="0"/>
        <v>0</v>
      </c>
      <c r="H28" s="17"/>
      <c r="I28" s="15"/>
      <c r="J28" s="15"/>
      <c r="K28" s="15"/>
      <c r="L28" s="15"/>
      <c r="M28" s="15"/>
      <c r="N28" s="15"/>
      <c r="O28" s="1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="4" customFormat="1" ht="22.5" customHeight="1" spans="1:62">
      <c r="A29" s="21"/>
      <c r="B29" s="15"/>
      <c r="C29" s="15"/>
      <c r="D29" s="15"/>
      <c r="E29" s="15"/>
      <c r="F29" s="15"/>
      <c r="G29" s="16">
        <f t="shared" si="0"/>
        <v>0</v>
      </c>
      <c r="H29" s="17"/>
      <c r="I29" s="15"/>
      <c r="J29" s="15"/>
      <c r="K29" s="15"/>
      <c r="L29" s="15"/>
      <c r="M29" s="15"/>
      <c r="N29" s="15"/>
      <c r="O29" s="1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="5" customFormat="1" ht="22.5" customHeight="1" spans="1:62">
      <c r="A30" s="21"/>
      <c r="B30" s="15"/>
      <c r="C30" s="15"/>
      <c r="D30" s="15"/>
      <c r="E30" s="15"/>
      <c r="F30" s="15"/>
      <c r="G30" s="16">
        <f t="shared" si="0"/>
        <v>0</v>
      </c>
      <c r="H30" s="17"/>
      <c r="I30" s="15"/>
      <c r="J30" s="15"/>
      <c r="K30" s="15"/>
      <c r="L30" s="15"/>
      <c r="M30" s="15"/>
      <c r="N30" s="15"/>
      <c r="O30" s="1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="4" customFormat="1" ht="22.5" customHeight="1" spans="1:62">
      <c r="A31" s="21"/>
      <c r="B31" s="15"/>
      <c r="C31" s="15"/>
      <c r="D31" s="15"/>
      <c r="E31" s="15"/>
      <c r="F31" s="15"/>
      <c r="G31" s="16">
        <f t="shared" si="0"/>
        <v>0</v>
      </c>
      <c r="H31" s="17"/>
      <c r="I31" s="15"/>
      <c r="J31" s="15"/>
      <c r="K31" s="15"/>
      <c r="L31" s="15"/>
      <c r="M31" s="15"/>
      <c r="N31" s="15"/>
      <c r="O31" s="1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="5" customFormat="1" ht="22.5" customHeight="1" spans="1:62">
      <c r="A32" s="21"/>
      <c r="B32" s="15"/>
      <c r="C32" s="15"/>
      <c r="D32" s="15"/>
      <c r="E32" s="15"/>
      <c r="F32" s="15"/>
      <c r="G32" s="16">
        <f t="shared" si="0"/>
        <v>0</v>
      </c>
      <c r="H32" s="17"/>
      <c r="I32" s="15"/>
      <c r="J32" s="15"/>
      <c r="K32" s="15"/>
      <c r="L32" s="15"/>
      <c r="M32" s="15"/>
      <c r="N32" s="15"/>
      <c r="O32" s="18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customFormat="1" ht="22.5" customHeight="1" spans="1:62">
      <c r="A33" s="21"/>
      <c r="B33" s="15"/>
      <c r="C33" s="15"/>
      <c r="D33" s="15"/>
      <c r="E33" s="15"/>
      <c r="F33" s="15"/>
      <c r="G33" s="16">
        <f>SUM(G3:G32)</f>
        <v>0</v>
      </c>
      <c r="H33" s="17">
        <f>SUM(H3:H32)</f>
        <v>0</v>
      </c>
      <c r="I33" s="15"/>
      <c r="J33" s="15"/>
      <c r="K33" s="15"/>
      <c r="L33" s="15"/>
      <c r="M33" s="15"/>
      <c r="N33" s="15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</row>
    <row r="34" spans="1:62">
      <c r="A34" s="29"/>
      <c r="B34" s="30"/>
      <c r="C34" s="30"/>
      <c r="D34" s="30"/>
      <c r="E34" s="30"/>
      <c r="F34" s="30"/>
      <c r="G34" s="31"/>
      <c r="H34" s="30"/>
      <c r="I34" s="30"/>
      <c r="J34" s="30"/>
      <c r="K34" s="30"/>
      <c r="L34" s="30"/>
      <c r="M34" s="30"/>
      <c r="N34" s="30"/>
    </row>
    <row r="35" spans="1:62">
      <c r="G35" s="32"/>
    </row>
    <row r="36" spans="1:62">
      <c r="G36" s="32"/>
    </row>
    <row r="37" spans="1:62">
      <c r="G37" s="32"/>
    </row>
    <row r="38" spans="1:62">
      <c r="G38" s="32"/>
    </row>
    <row r="39" spans="1:62">
      <c r="G39" s="32"/>
    </row>
    <row r="40" spans="1:62">
      <c r="G40" s="32"/>
    </row>
    <row r="41" spans="1:62">
      <c r="G41" s="32"/>
    </row>
    <row r="42" spans="1:62">
      <c r="G42" s="32"/>
    </row>
    <row r="43" spans="1:62">
      <c r="G43" s="32"/>
    </row>
    <row r="44" spans="1:62">
      <c r="G44" s="32"/>
    </row>
    <row r="45" spans="1:62">
      <c r="G45" s="32"/>
    </row>
    <row r="46" spans="1:62">
      <c r="G46" s="32"/>
    </row>
    <row r="47" spans="1:62">
      <c r="G47" s="32"/>
    </row>
    <row r="48" spans="1:62">
      <c r="G48" s="32"/>
    </row>
    <row r="49" spans="7:7">
      <c r="G49" s="32"/>
    </row>
    <row r="50" spans="7:7">
      <c r="G50" s="32"/>
    </row>
    <row r="51" spans="7:7">
      <c r="G51" s="32"/>
    </row>
    <row r="52" spans="7:7">
      <c r="G52" s="32"/>
    </row>
    <row r="53" spans="7:7">
      <c r="G53" s="32"/>
    </row>
    <row r="54" spans="7:7">
      <c r="G54" s="32"/>
    </row>
    <row r="55" spans="7:7">
      <c r="G55" s="32"/>
    </row>
    <row r="56" spans="7:7">
      <c r="G56" s="32"/>
    </row>
    <row r="57" spans="7:7">
      <c r="G57" s="32"/>
    </row>
    <row r="58" spans="7:7">
      <c r="G58" s="32"/>
    </row>
    <row r="59" spans="7:7">
      <c r="G59" s="32"/>
    </row>
    <row r="60" spans="7:7">
      <c r="G60" s="32"/>
    </row>
    <row r="61" spans="7:7">
      <c r="G61" s="32"/>
    </row>
    <row r="62" spans="7:7">
      <c r="G62" s="32"/>
    </row>
    <row r="63" spans="7:7">
      <c r="G63" s="32"/>
    </row>
    <row r="64" spans="7:7">
      <c r="G64" s="32"/>
    </row>
    <row r="65" spans="7:7">
      <c r="G65" s="32"/>
    </row>
    <row r="66" spans="7:7">
      <c r="G66" s="32"/>
    </row>
    <row r="67" spans="7:7">
      <c r="G67" s="32"/>
    </row>
    <row r="68" spans="7:7">
      <c r="G68" s="32"/>
    </row>
    <row r="69" spans="7:7">
      <c r="G69" s="32"/>
    </row>
    <row r="70" spans="7:7">
      <c r="G70" s="32"/>
    </row>
    <row r="71" spans="7:7">
      <c r="G71" s="32"/>
    </row>
    <row r="72" spans="7:7">
      <c r="G72" s="32"/>
    </row>
    <row r="73" spans="7:7">
      <c r="G73" s="32"/>
    </row>
    <row r="74" spans="7:7">
      <c r="G74" s="32"/>
    </row>
    <row r="75" spans="7:7">
      <c r="G75" s="32"/>
    </row>
    <row r="76" spans="7:7">
      <c r="G76" s="32"/>
    </row>
    <row r="77" spans="7:7">
      <c r="G77" s="32"/>
    </row>
    <row r="78" spans="7:7">
      <c r="G78" s="32"/>
    </row>
    <row r="79" spans="7:7">
      <c r="G79" s="32"/>
    </row>
    <row r="80" spans="7:7">
      <c r="G80" s="32"/>
    </row>
    <row r="81" spans="7:7">
      <c r="G81" s="32"/>
    </row>
    <row r="82" spans="7:7">
      <c r="G82" s="32"/>
    </row>
    <row r="83" spans="7:7">
      <c r="G83" s="32"/>
    </row>
    <row r="84" spans="7:7">
      <c r="G84" s="32"/>
    </row>
    <row r="85" spans="7:7">
      <c r="G85" s="32"/>
    </row>
    <row r="86" spans="7:7">
      <c r="G86" s="32"/>
    </row>
    <row r="87" spans="7:7">
      <c r="G87" s="32"/>
    </row>
    <row r="88" spans="7:7">
      <c r="G88" s="32"/>
    </row>
    <row r="89" spans="7:7">
      <c r="G89" s="32"/>
    </row>
    <row r="90" spans="7:7">
      <c r="G90" s="32"/>
    </row>
    <row r="91" spans="7:7">
      <c r="G91" s="32"/>
    </row>
    <row r="92" spans="7:7">
      <c r="G92" s="32"/>
    </row>
    <row r="93" spans="7:7">
      <c r="G93" s="32"/>
    </row>
    <row r="94" spans="7:7">
      <c r="G94" s="32"/>
    </row>
    <row r="95" spans="7:7">
      <c r="G95" s="32"/>
    </row>
    <row r="96" spans="7:7">
      <c r="G96" s="32"/>
    </row>
    <row r="97" spans="7:7">
      <c r="G97" s="32"/>
    </row>
    <row r="98" spans="7:7">
      <c r="G98" s="32"/>
    </row>
    <row r="99" spans="7:7">
      <c r="G99" s="32"/>
    </row>
    <row r="100" spans="7:7">
      <c r="G100" s="32"/>
    </row>
    <row r="101" spans="7:7">
      <c r="G101" s="32"/>
    </row>
    <row r="102" spans="7:7">
      <c r="G102" s="32"/>
    </row>
    <row r="103" spans="7:7">
      <c r="G103" s="32"/>
    </row>
    <row r="104" spans="7:7">
      <c r="G104" s="32"/>
    </row>
    <row r="105" spans="7:7">
      <c r="G105" s="32"/>
    </row>
    <row r="106" spans="7:7">
      <c r="G106" s="32"/>
    </row>
    <row r="107" spans="7:7">
      <c r="G107" s="32"/>
    </row>
    <row r="108" spans="7:7">
      <c r="G108" s="32"/>
    </row>
    <row r="109" spans="7:7">
      <c r="G109" s="32"/>
    </row>
    <row r="110" spans="7:7">
      <c r="G110" s="32"/>
    </row>
    <row r="111" spans="7:7">
      <c r="G111" s="32"/>
    </row>
    <row r="112" spans="7:7">
      <c r="G112" s="32"/>
    </row>
    <row r="113" spans="7:7">
      <c r="G113" s="32"/>
    </row>
  </sheetData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1月份 (2)</vt:lpstr>
      <vt:lpstr>2月份 (3)</vt:lpstr>
      <vt:lpstr>3月份 (4)</vt:lpstr>
      <vt:lpstr>4月份 (5)</vt:lpstr>
      <vt:lpstr>5月份 (6)</vt:lpstr>
      <vt:lpstr>6月份 (7)</vt:lpstr>
      <vt:lpstr>7月份 (8)</vt:lpstr>
      <vt:lpstr>8月份 (2)</vt:lpstr>
      <vt:lpstr>9月份 (10)</vt:lpstr>
      <vt:lpstr>10月份 (11)</vt:lpstr>
      <vt:lpstr>11月份 (12)</vt:lpstr>
      <vt:lpstr>12月份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2026-01-23T08:04:00Z</dcterms:created>
  <dcterms:modified xsi:type="dcterms:W3CDTF">2026-05-30T05:50:15Z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7CAB267D61604212AAC59A96B111EFBF_13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